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david_najera_us_af_mil/Documents/Desktop/"/>
    </mc:Choice>
  </mc:AlternateContent>
  <xr:revisionPtr revIDLastSave="0" documentId="8_{C9D22D56-2C32-2549-98C7-8BB9231793F6}" xr6:coauthVersionLast="47" xr6:coauthVersionMax="47" xr10:uidLastSave="{00000000-0000-0000-0000-000000000000}"/>
  <bookViews>
    <workbookView xWindow="-120" yWindow="90" windowWidth="38640" windowHeight="15510" xr2:uid="{6A21EB6D-3BC4-4EF3-B9EC-FEAE5519E5F3}"/>
  </bookViews>
  <sheets>
    <sheet name="No ETP_USFJ 30 DAYS" sheetId="34" r:id="rId1"/>
    <sheet name="NO ETP 1Jun27 (59 days SB)" sheetId="18" r:id="rId2"/>
    <sheet name="ETP 1May27 (117 days SB)" sheetId="32" r:id="rId3"/>
    <sheet name="NO ETP NO USFJ 1JuL27 (60 days)" sheetId="19" r:id="rId4"/>
    <sheet name="NO ETP 61DAYS USFJ 1JuL27" sheetId="36" r:id="rId5"/>
    <sheet name="133 days ETP USFJ 1JuL27" sheetId="38" r:id="rId6"/>
    <sheet name="No ETP_USFJ 1May27" sheetId="20" r:id="rId7"/>
    <sheet name="Sheet7" sheetId="41" r:id="rId8"/>
    <sheet name="Sheet8" sheetId="42" r:id="rId9"/>
    <sheet name="Sheet9" sheetId="43" r:id="rId10"/>
    <sheet name="Sheet10" sheetId="44" r:id="rId11"/>
    <sheet name="Sheet11" sheetId="45" r:id="rId12"/>
    <sheet name="120 ETP USFJ 1JuL27 ( SB)" sheetId="31" r:id="rId13"/>
    <sheet name="ETP 1Jun27 (120 days SB)" sheetId="33" r:id="rId14"/>
    <sheet name="June Checking" sheetId="35" r:id="rId15"/>
    <sheet name="ETP 1JuL27 (120 days SB) USFJ" sheetId="37" r:id="rId16"/>
    <sheet name="133 ETP 1JuL27 (120 days SB) US" sheetId="40" r:id="rId17"/>
    <sheet name="Sheet1" sheetId="25" r:id="rId18"/>
    <sheet name="Sheet2" sheetId="26" r:id="rId19"/>
    <sheet name="Sheet3" sheetId="27" r:id="rId20"/>
    <sheet name="Sheet4" sheetId="28" r:id="rId21"/>
    <sheet name="Sheet5" sheetId="29" r:id="rId22"/>
    <sheet name="Sheet6" sheetId="30" r:id="rId23"/>
    <sheet name="PTDY_NO ETP 1JuL27 (60 days SB)" sheetId="22" r:id="rId24"/>
    <sheet name="No ETP 1Apr27 (60 days SB)" sheetId="23" r:id="rId25"/>
    <sheet name="No ETP 1Mar27 (60 days SB)" sheetId="24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9" i="34" l="1"/>
  <c r="X53" i="34"/>
  <c r="U53" i="34"/>
  <c r="Q53" i="34"/>
  <c r="AH47" i="34"/>
  <c r="AV89" i="34"/>
  <c r="AP90" i="32"/>
  <c r="T60" i="36"/>
  <c r="W53" i="36"/>
  <c r="W48" i="36"/>
  <c r="AG47" i="19"/>
  <c r="AH48" i="38"/>
  <c r="X48" i="38"/>
  <c r="O54" i="38"/>
  <c r="E78" i="38"/>
  <c r="AG60" i="40"/>
  <c r="AG128" i="40"/>
  <c r="AL39" i="40"/>
  <c r="AL45" i="40"/>
  <c r="AL51" i="40"/>
  <c r="AL57" i="40"/>
  <c r="AL63" i="40"/>
  <c r="AL69" i="40"/>
  <c r="AL75" i="40"/>
  <c r="AL81" i="40"/>
  <c r="AL87" i="40"/>
  <c r="AL93" i="40"/>
  <c r="AL99" i="40"/>
  <c r="AL105" i="40"/>
  <c r="AL111" i="40"/>
  <c r="AL117" i="40"/>
  <c r="AJ94" i="40"/>
  <c r="AJ88" i="40"/>
  <c r="M79" i="40"/>
  <c r="S78" i="40"/>
  <c r="N78" i="40"/>
  <c r="K78" i="40"/>
  <c r="E78" i="40"/>
  <c r="AB73" i="40"/>
  <c r="V73" i="40"/>
  <c r="G73" i="40"/>
  <c r="W72" i="40"/>
  <c r="T72" i="40"/>
  <c r="P71" i="40"/>
  <c r="Y67" i="40"/>
  <c r="AG66" i="40"/>
  <c r="Z66" i="40"/>
  <c r="W66" i="40"/>
  <c r="I66" i="40"/>
  <c r="AP31" i="40"/>
  <c r="AP37" i="40"/>
  <c r="AP43" i="40"/>
  <c r="AP49" i="40"/>
  <c r="AP55" i="40"/>
  <c r="AP61" i="40"/>
  <c r="T61" i="40"/>
  <c r="U60" i="40"/>
  <c r="R60" i="40"/>
  <c r="L60" i="40"/>
  <c r="H54" i="40"/>
  <c r="X53" i="40"/>
  <c r="U53" i="40"/>
  <c r="Q53" i="40"/>
  <c r="O53" i="40"/>
  <c r="S49" i="40"/>
  <c r="AH48" i="40"/>
  <c r="AF48" i="40"/>
  <c r="T48" i="40"/>
  <c r="Q48" i="40"/>
  <c r="K48" i="40"/>
  <c r="X47" i="40"/>
  <c r="N42" i="40"/>
  <c r="AL8" i="40"/>
  <c r="AL15" i="40"/>
  <c r="AL21" i="40"/>
  <c r="AG128" i="38"/>
  <c r="AL39" i="38"/>
  <c r="AL45" i="38"/>
  <c r="AL51" i="38"/>
  <c r="AL57" i="38"/>
  <c r="AL63" i="38"/>
  <c r="AL69" i="38"/>
  <c r="AL75" i="38"/>
  <c r="AL81" i="38"/>
  <c r="AL87" i="38"/>
  <c r="AL93" i="38"/>
  <c r="AL99" i="38"/>
  <c r="AL105" i="38"/>
  <c r="AL111" i="38"/>
  <c r="AL117" i="38"/>
  <c r="AJ94" i="38"/>
  <c r="AJ88" i="38"/>
  <c r="M79" i="38"/>
  <c r="S78" i="38"/>
  <c r="N78" i="38"/>
  <c r="K78" i="38"/>
  <c r="AB73" i="38"/>
  <c r="V73" i="38"/>
  <c r="G73" i="38"/>
  <c r="W72" i="38"/>
  <c r="T72" i="38"/>
  <c r="P72" i="38"/>
  <c r="Y67" i="38"/>
  <c r="AG66" i="38"/>
  <c r="AE66" i="38"/>
  <c r="Z66" i="38"/>
  <c r="W66" i="38"/>
  <c r="I66" i="38"/>
  <c r="AP31" i="38"/>
  <c r="AP37" i="38"/>
  <c r="AP43" i="38"/>
  <c r="AP49" i="38"/>
  <c r="AP55" i="38"/>
  <c r="AP61" i="38"/>
  <c r="T61" i="38"/>
  <c r="AG60" i="38"/>
  <c r="U60" i="38"/>
  <c r="R60" i="38"/>
  <c r="L60" i="38"/>
  <c r="H54" i="38"/>
  <c r="X53" i="38"/>
  <c r="U53" i="38"/>
  <c r="Q53" i="38"/>
  <c r="AF48" i="38"/>
  <c r="T48" i="38"/>
  <c r="Q48" i="38"/>
  <c r="K48" i="38"/>
  <c r="N42" i="38"/>
  <c r="AL8" i="38"/>
  <c r="AL15" i="38"/>
  <c r="AL21" i="38"/>
  <c r="AH48" i="37"/>
  <c r="N54" i="19"/>
  <c r="W53" i="19"/>
  <c r="T53" i="19"/>
  <c r="P53" i="19"/>
  <c r="G53" i="19"/>
  <c r="R49" i="19"/>
  <c r="AE48" i="19"/>
  <c r="S48" i="19"/>
  <c r="P48" i="19"/>
  <c r="J48" i="19"/>
  <c r="AF48" i="31"/>
  <c r="T48" i="31"/>
  <c r="Q48" i="31"/>
  <c r="K48" i="31"/>
  <c r="AH47" i="31"/>
  <c r="X47" i="31"/>
  <c r="E78" i="31"/>
  <c r="K78" i="31"/>
  <c r="N78" i="31"/>
  <c r="S78" i="31"/>
  <c r="M79" i="31"/>
  <c r="H54" i="31"/>
  <c r="X53" i="31"/>
  <c r="U53" i="31"/>
  <c r="Q53" i="31"/>
  <c r="O53" i="31"/>
  <c r="O53" i="37"/>
  <c r="AG59" i="37"/>
  <c r="X53" i="37"/>
  <c r="X47" i="37"/>
  <c r="P71" i="37"/>
  <c r="U53" i="37"/>
  <c r="Q53" i="37"/>
  <c r="H54" i="37"/>
  <c r="G53" i="36"/>
  <c r="AE48" i="36"/>
  <c r="K59" i="36"/>
  <c r="S48" i="36"/>
  <c r="T53" i="36"/>
  <c r="P53" i="36"/>
  <c r="AG47" i="36"/>
  <c r="AG128" i="37"/>
  <c r="AL39" i="37"/>
  <c r="AL45" i="37"/>
  <c r="AL51" i="37"/>
  <c r="AL57" i="37"/>
  <c r="AL63" i="37"/>
  <c r="AL69" i="37"/>
  <c r="AL75" i="37"/>
  <c r="AL81" i="37"/>
  <c r="AL87" i="37"/>
  <c r="AL93" i="37"/>
  <c r="AL99" i="37"/>
  <c r="AL105" i="37"/>
  <c r="AL111" i="37"/>
  <c r="AL117" i="37"/>
  <c r="AJ94" i="37"/>
  <c r="AJ88" i="37"/>
  <c r="M79" i="37"/>
  <c r="S78" i="37"/>
  <c r="N78" i="37"/>
  <c r="K78" i="37"/>
  <c r="E78" i="37"/>
  <c r="AB73" i="37"/>
  <c r="V73" i="37"/>
  <c r="G73" i="37"/>
  <c r="W72" i="37"/>
  <c r="T72" i="37"/>
  <c r="Y67" i="37"/>
  <c r="AG66" i="37"/>
  <c r="Z66" i="37"/>
  <c r="W66" i="37"/>
  <c r="I66" i="37"/>
  <c r="AP31" i="37"/>
  <c r="AP37" i="37"/>
  <c r="AP43" i="37"/>
  <c r="AP49" i="37"/>
  <c r="AP55" i="37"/>
  <c r="AP61" i="37"/>
  <c r="T61" i="37"/>
  <c r="U60" i="37"/>
  <c r="R60" i="37"/>
  <c r="L60" i="37"/>
  <c r="S49" i="37"/>
  <c r="AF48" i="37"/>
  <c r="T48" i="37"/>
  <c r="Q48" i="37"/>
  <c r="K48" i="37"/>
  <c r="N42" i="37"/>
  <c r="AL8" i="37"/>
  <c r="AL15" i="37"/>
  <c r="AL21" i="37"/>
  <c r="AF128" i="36"/>
  <c r="AK39" i="36"/>
  <c r="AK45" i="36"/>
  <c r="AK51" i="36"/>
  <c r="AK57" i="36"/>
  <c r="AK63" i="36"/>
  <c r="AK69" i="36"/>
  <c r="AK75" i="36"/>
  <c r="AK81" i="36"/>
  <c r="AK87" i="36"/>
  <c r="AK93" i="36"/>
  <c r="AK99" i="36"/>
  <c r="AK105" i="36"/>
  <c r="AK111" i="36"/>
  <c r="AK117" i="36"/>
  <c r="AI94" i="36"/>
  <c r="AI88" i="36"/>
  <c r="R78" i="36"/>
  <c r="M78" i="36"/>
  <c r="J78" i="36"/>
  <c r="D78" i="36"/>
  <c r="AA73" i="36"/>
  <c r="F73" i="36"/>
  <c r="V72" i="36"/>
  <c r="S72" i="36"/>
  <c r="O72" i="36"/>
  <c r="AF66" i="36"/>
  <c r="AD66" i="36"/>
  <c r="Y66" i="36"/>
  <c r="V66" i="36"/>
  <c r="H66" i="36"/>
  <c r="AO31" i="36"/>
  <c r="AO37" i="36"/>
  <c r="AO43" i="36"/>
  <c r="AO49" i="36"/>
  <c r="AO55" i="36"/>
  <c r="AO61" i="36"/>
  <c r="AF60" i="36"/>
  <c r="Q60" i="36"/>
  <c r="N54" i="36"/>
  <c r="P48" i="36"/>
  <c r="J48" i="36"/>
  <c r="M42" i="36"/>
  <c r="AK8" i="36"/>
  <c r="AK15" i="36"/>
  <c r="AK21" i="36"/>
  <c r="AC128" i="35"/>
  <c r="AK39" i="35"/>
  <c r="AK45" i="35"/>
  <c r="AK51" i="35"/>
  <c r="AK57" i="35"/>
  <c r="AK63" i="35"/>
  <c r="AK69" i="35"/>
  <c r="AK75" i="35"/>
  <c r="AK81" i="35"/>
  <c r="AK87" i="35"/>
  <c r="AK93" i="35"/>
  <c r="AK99" i="35"/>
  <c r="AK105" i="35"/>
  <c r="AK111" i="35"/>
  <c r="AK117" i="35"/>
  <c r="AI87" i="35"/>
  <c r="AI83" i="35"/>
  <c r="R79" i="35"/>
  <c r="L79" i="35"/>
  <c r="M78" i="35"/>
  <c r="J78" i="35"/>
  <c r="D78" i="35"/>
  <c r="AA73" i="35"/>
  <c r="U73" i="35"/>
  <c r="F73" i="35"/>
  <c r="V72" i="35"/>
  <c r="S72" i="35"/>
  <c r="O72" i="35"/>
  <c r="X67" i="35"/>
  <c r="AF66" i="35"/>
  <c r="AD66" i="35"/>
  <c r="Y66" i="35"/>
  <c r="V66" i="35"/>
  <c r="H66" i="35"/>
  <c r="AO31" i="35"/>
  <c r="AO37" i="35"/>
  <c r="AO43" i="35"/>
  <c r="AO49" i="35"/>
  <c r="AO55" i="35"/>
  <c r="AO61" i="35"/>
  <c r="S61" i="35"/>
  <c r="AF60" i="35"/>
  <c r="T60" i="35"/>
  <c r="Q60" i="35"/>
  <c r="K60" i="35"/>
  <c r="V55" i="35"/>
  <c r="W54" i="35"/>
  <c r="T54" i="35"/>
  <c r="P54" i="35"/>
  <c r="N54" i="35"/>
  <c r="G54" i="35"/>
  <c r="R49" i="35"/>
  <c r="AG48" i="35"/>
  <c r="AE48" i="35"/>
  <c r="W48" i="35"/>
  <c r="S48" i="35"/>
  <c r="P48" i="35"/>
  <c r="J48" i="35"/>
  <c r="M42" i="35"/>
  <c r="AK8" i="35"/>
  <c r="AK15" i="35"/>
  <c r="AK21" i="35"/>
  <c r="AL33" i="34"/>
  <c r="AL39" i="34"/>
  <c r="AL45" i="34"/>
  <c r="AL51" i="34"/>
  <c r="AL57" i="34"/>
  <c r="AL63" i="34"/>
  <c r="AL69" i="34"/>
  <c r="AL75" i="34"/>
  <c r="AL81" i="34"/>
  <c r="AL87" i="34"/>
  <c r="AL93" i="34"/>
  <c r="AL99" i="34"/>
  <c r="AL105" i="34"/>
  <c r="AL111" i="34"/>
  <c r="AL117" i="34"/>
  <c r="AJ87" i="34"/>
  <c r="AJ83" i="34"/>
  <c r="AP31" i="34"/>
  <c r="AP37" i="34"/>
  <c r="AP43" i="34"/>
  <c r="AP49" i="34"/>
  <c r="AP55" i="34"/>
  <c r="AP61" i="34"/>
  <c r="T61" i="34"/>
  <c r="W55" i="34"/>
  <c r="S49" i="34"/>
  <c r="AF48" i="34"/>
  <c r="X48" i="34"/>
  <c r="T48" i="34"/>
  <c r="Q48" i="34"/>
  <c r="K48" i="34"/>
  <c r="N42" i="34"/>
  <c r="AL8" i="34"/>
  <c r="AL15" i="34"/>
  <c r="AL21" i="34"/>
  <c r="AP31" i="18"/>
  <c r="AP37" i="18"/>
  <c r="AP43" i="18"/>
  <c r="AP49" i="18"/>
  <c r="AP55" i="18"/>
  <c r="AP61" i="18"/>
  <c r="AO93" i="33"/>
  <c r="AC128" i="33"/>
  <c r="AK39" i="33"/>
  <c r="AK45" i="33"/>
  <c r="AK51" i="33"/>
  <c r="AK57" i="33"/>
  <c r="AK63" i="33"/>
  <c r="AK69" i="33"/>
  <c r="AK75" i="33"/>
  <c r="AK81" i="33"/>
  <c r="AK87" i="33"/>
  <c r="AK93" i="33"/>
  <c r="AK99" i="33"/>
  <c r="AK105" i="33"/>
  <c r="AK111" i="33"/>
  <c r="AK117" i="33"/>
  <c r="AI87" i="33"/>
  <c r="AI83" i="33"/>
  <c r="R79" i="33"/>
  <c r="L79" i="33"/>
  <c r="M78" i="33"/>
  <c r="J78" i="33"/>
  <c r="D78" i="33"/>
  <c r="AA73" i="33"/>
  <c r="U73" i="33"/>
  <c r="F73" i="33"/>
  <c r="V72" i="33"/>
  <c r="S72" i="33"/>
  <c r="O72" i="33"/>
  <c r="X67" i="33"/>
  <c r="AF66" i="33"/>
  <c r="AD66" i="33"/>
  <c r="Y66" i="33"/>
  <c r="V66" i="33"/>
  <c r="H66" i="33"/>
  <c r="AO31" i="33"/>
  <c r="AO37" i="33"/>
  <c r="AO43" i="33"/>
  <c r="AO49" i="33"/>
  <c r="AO55" i="33"/>
  <c r="AO61" i="33"/>
  <c r="S61" i="33"/>
  <c r="AF60" i="33"/>
  <c r="T60" i="33"/>
  <c r="Q60" i="33"/>
  <c r="K60" i="33"/>
  <c r="V55" i="33"/>
  <c r="W54" i="33"/>
  <c r="T54" i="33"/>
  <c r="P54" i="33"/>
  <c r="N54" i="33"/>
  <c r="G54" i="33"/>
  <c r="R49" i="33"/>
  <c r="AG48" i="33"/>
  <c r="AE48" i="33"/>
  <c r="W48" i="33"/>
  <c r="S48" i="33"/>
  <c r="P48" i="33"/>
  <c r="J48" i="33"/>
  <c r="M42" i="33"/>
  <c r="AK8" i="33"/>
  <c r="AK15" i="33"/>
  <c r="AK21" i="33"/>
  <c r="AI83" i="32"/>
  <c r="AK33" i="32"/>
  <c r="AK39" i="32"/>
  <c r="AK45" i="32"/>
  <c r="AK51" i="32"/>
  <c r="AK57" i="32"/>
  <c r="AK63" i="32"/>
  <c r="AK69" i="32"/>
  <c r="AK75" i="32"/>
  <c r="AK81" i="32"/>
  <c r="AK87" i="32"/>
  <c r="AK93" i="32"/>
  <c r="AK99" i="32"/>
  <c r="AK105" i="32"/>
  <c r="AK111" i="32"/>
  <c r="AK117" i="32"/>
  <c r="AI87" i="32"/>
  <c r="L79" i="32"/>
  <c r="R78" i="32"/>
  <c r="M78" i="32"/>
  <c r="J78" i="32"/>
  <c r="D78" i="32"/>
  <c r="U73" i="32"/>
  <c r="F73" i="32"/>
  <c r="AA72" i="32"/>
  <c r="V72" i="32"/>
  <c r="S72" i="32"/>
  <c r="O72" i="32"/>
  <c r="X67" i="32"/>
  <c r="AF66" i="32"/>
  <c r="AD66" i="32"/>
  <c r="Y66" i="32"/>
  <c r="V66" i="32"/>
  <c r="H66" i="32"/>
  <c r="AO31" i="32"/>
  <c r="AO37" i="32"/>
  <c r="AO43" i="32"/>
  <c r="AO49" i="32"/>
  <c r="AO55" i="32"/>
  <c r="AO61" i="32"/>
  <c r="S61" i="32"/>
  <c r="AF60" i="32"/>
  <c r="T60" i="32"/>
  <c r="Q60" i="32"/>
  <c r="K60" i="32"/>
  <c r="V55" i="32"/>
  <c r="W54" i="32"/>
  <c r="T54" i="32"/>
  <c r="P54" i="32"/>
  <c r="N54" i="32"/>
  <c r="G54" i="32"/>
  <c r="R49" i="32"/>
  <c r="AG48" i="32"/>
  <c r="AE48" i="32"/>
  <c r="W48" i="32"/>
  <c r="S48" i="32"/>
  <c r="P48" i="32"/>
  <c r="J48" i="32"/>
  <c r="M42" i="32"/>
  <c r="AK8" i="32"/>
  <c r="AK15" i="32"/>
  <c r="AK21" i="32"/>
  <c r="AG128" i="31"/>
  <c r="AL39" i="31"/>
  <c r="AL45" i="31"/>
  <c r="AL51" i="31"/>
  <c r="AL57" i="31"/>
  <c r="AL63" i="31"/>
  <c r="AL69" i="31"/>
  <c r="AL75" i="31"/>
  <c r="AL81" i="31"/>
  <c r="AL87" i="31"/>
  <c r="AL93" i="31"/>
  <c r="AL99" i="31"/>
  <c r="AL105" i="31"/>
  <c r="AL111" i="31"/>
  <c r="AL117" i="31"/>
  <c r="AJ94" i="31"/>
  <c r="AJ88" i="31"/>
  <c r="AB73" i="31"/>
  <c r="V73" i="31"/>
  <c r="G73" i="31"/>
  <c r="W72" i="31"/>
  <c r="T72" i="31"/>
  <c r="P72" i="31"/>
  <c r="Y67" i="31"/>
  <c r="AG66" i="31"/>
  <c r="AE66" i="31"/>
  <c r="Z66" i="31"/>
  <c r="W66" i="31"/>
  <c r="I66" i="31"/>
  <c r="AP31" i="31"/>
  <c r="AP37" i="31"/>
  <c r="AP43" i="31"/>
  <c r="AP49" i="31"/>
  <c r="AP55" i="31"/>
  <c r="AP61" i="31"/>
  <c r="T61" i="31"/>
  <c r="AG60" i="31"/>
  <c r="U60" i="31"/>
  <c r="R60" i="31"/>
  <c r="L60" i="31"/>
  <c r="N42" i="31"/>
  <c r="AL8" i="31"/>
  <c r="AL15" i="31"/>
  <c r="AL21" i="31"/>
  <c r="AK39" i="19"/>
  <c r="AK45" i="19"/>
  <c r="AK51" i="19"/>
  <c r="AK57" i="19"/>
  <c r="AK63" i="19"/>
  <c r="AK69" i="19"/>
  <c r="AK75" i="19"/>
  <c r="AK81" i="19"/>
  <c r="AK87" i="19"/>
  <c r="AK93" i="19"/>
  <c r="AK99" i="19"/>
  <c r="AK105" i="19"/>
  <c r="AK111" i="19"/>
  <c r="AK117" i="19"/>
  <c r="AI94" i="19"/>
  <c r="Y67" i="18"/>
  <c r="AG66" i="18"/>
  <c r="AE66" i="18"/>
  <c r="Z66" i="18"/>
  <c r="W66" i="18"/>
  <c r="I66" i="18"/>
  <c r="X67" i="19"/>
  <c r="AF66" i="19"/>
  <c r="AD66" i="19"/>
  <c r="Y66" i="19"/>
  <c r="V66" i="19"/>
  <c r="H66" i="19"/>
  <c r="X67" i="22"/>
  <c r="AF66" i="22"/>
  <c r="AD66" i="22"/>
  <c r="Y66" i="22"/>
  <c r="V66" i="22"/>
  <c r="H66" i="22"/>
  <c r="T61" i="18"/>
  <c r="AG60" i="18"/>
  <c r="U60" i="18"/>
  <c r="R60" i="18"/>
  <c r="L60" i="18"/>
  <c r="S61" i="19"/>
  <c r="AF60" i="19"/>
  <c r="T60" i="19"/>
  <c r="Q60" i="19"/>
  <c r="K60" i="19"/>
  <c r="S61" i="22"/>
  <c r="AF60" i="22"/>
  <c r="T60" i="22"/>
  <c r="Q60" i="22"/>
  <c r="K60" i="22"/>
  <c r="W55" i="18"/>
  <c r="X54" i="18"/>
  <c r="U54" i="18"/>
  <c r="Q54" i="18"/>
  <c r="O54" i="18"/>
  <c r="H54" i="18"/>
  <c r="V55" i="22"/>
  <c r="W54" i="22"/>
  <c r="T54" i="22"/>
  <c r="P54" i="22"/>
  <c r="N54" i="22"/>
  <c r="G54" i="22"/>
  <c r="AL39" i="18"/>
  <c r="AL45" i="18"/>
  <c r="AL51" i="18"/>
  <c r="AL57" i="18"/>
  <c r="AL63" i="18"/>
  <c r="AL69" i="18"/>
  <c r="AL75" i="18"/>
  <c r="AL81" i="18"/>
  <c r="AL87" i="18"/>
  <c r="AL93" i="18"/>
  <c r="AL99" i="18"/>
  <c r="AL105" i="18"/>
  <c r="AL111" i="18"/>
  <c r="AL117" i="18"/>
  <c r="AJ87" i="18"/>
  <c r="AL33" i="20"/>
  <c r="AL39" i="20"/>
  <c r="AL45" i="20"/>
  <c r="AL51" i="20"/>
  <c r="AL57" i="20"/>
  <c r="AL63" i="20"/>
  <c r="AL69" i="20"/>
  <c r="AL75" i="20"/>
  <c r="AL81" i="20"/>
  <c r="AL87" i="20"/>
  <c r="AL93" i="20"/>
  <c r="AL99" i="20"/>
  <c r="AL105" i="20"/>
  <c r="AL111" i="20"/>
  <c r="AL117" i="20"/>
  <c r="AJ87" i="20"/>
  <c r="AK87" i="24"/>
  <c r="AK93" i="24"/>
  <c r="AK33" i="24"/>
  <c r="AK39" i="24"/>
  <c r="AK45" i="24"/>
  <c r="AK51" i="24"/>
  <c r="AK57" i="24"/>
  <c r="AK63" i="24"/>
  <c r="AK69" i="24"/>
  <c r="AK75" i="24"/>
  <c r="AK81" i="24"/>
  <c r="AK99" i="24"/>
  <c r="AK105" i="24"/>
  <c r="AK111" i="24"/>
  <c r="AK117" i="24"/>
  <c r="AI98" i="24"/>
  <c r="AI83" i="24"/>
  <c r="L79" i="24"/>
  <c r="R78" i="24"/>
  <c r="M78" i="24"/>
  <c r="J78" i="24"/>
  <c r="D78" i="24"/>
  <c r="U73" i="24"/>
  <c r="F73" i="24"/>
  <c r="AA72" i="24"/>
  <c r="V72" i="24"/>
  <c r="S72" i="24"/>
  <c r="O72" i="24"/>
  <c r="X67" i="24"/>
  <c r="AF66" i="24"/>
  <c r="AD66" i="24"/>
  <c r="Y66" i="24"/>
  <c r="V66" i="24"/>
  <c r="H66" i="24"/>
  <c r="AO31" i="24"/>
  <c r="AO37" i="24"/>
  <c r="AO43" i="24"/>
  <c r="AO49" i="24"/>
  <c r="AO55" i="24"/>
  <c r="AO61" i="24"/>
  <c r="S61" i="24"/>
  <c r="AF60" i="24"/>
  <c r="T60" i="24"/>
  <c r="Q60" i="24"/>
  <c r="K60" i="24"/>
  <c r="V55" i="24"/>
  <c r="W54" i="24"/>
  <c r="T54" i="24"/>
  <c r="P54" i="24"/>
  <c r="N54" i="24"/>
  <c r="G54" i="24"/>
  <c r="R49" i="24"/>
  <c r="AG48" i="24"/>
  <c r="AE48" i="24"/>
  <c r="W48" i="24"/>
  <c r="S48" i="24"/>
  <c r="P48" i="24"/>
  <c r="J48" i="24"/>
  <c r="M42" i="24"/>
  <c r="AK8" i="24"/>
  <c r="AK15" i="24"/>
  <c r="AK21" i="24"/>
  <c r="AK33" i="23"/>
  <c r="AK39" i="23"/>
  <c r="AK45" i="23"/>
  <c r="AK51" i="23"/>
  <c r="AK57" i="23"/>
  <c r="AK63" i="23"/>
  <c r="AK69" i="23"/>
  <c r="AK75" i="23"/>
  <c r="AK81" i="23"/>
  <c r="AK87" i="23"/>
  <c r="AK93" i="23"/>
  <c r="AK99" i="23"/>
  <c r="AK105" i="23"/>
  <c r="AK111" i="23"/>
  <c r="AK117" i="23"/>
  <c r="AI98" i="23"/>
  <c r="AI83" i="23"/>
  <c r="L79" i="23"/>
  <c r="R78" i="23"/>
  <c r="M78" i="23"/>
  <c r="J78" i="23"/>
  <c r="D78" i="23"/>
  <c r="U73" i="23"/>
  <c r="F73" i="23"/>
  <c r="AA72" i="23"/>
  <c r="V72" i="23"/>
  <c r="S72" i="23"/>
  <c r="O72" i="23"/>
  <c r="X67" i="23"/>
  <c r="AF66" i="23"/>
  <c r="AD66" i="23"/>
  <c r="Y66" i="23"/>
  <c r="V66" i="23"/>
  <c r="H66" i="23"/>
  <c r="AO31" i="23"/>
  <c r="AO37" i="23"/>
  <c r="AO43" i="23"/>
  <c r="AO49" i="23"/>
  <c r="AO55" i="23"/>
  <c r="AO61" i="23"/>
  <c r="S61" i="23"/>
  <c r="AF60" i="23"/>
  <c r="T60" i="23"/>
  <c r="Q60" i="23"/>
  <c r="K60" i="23"/>
  <c r="V55" i="23"/>
  <c r="W54" i="23"/>
  <c r="T54" i="23"/>
  <c r="P54" i="23"/>
  <c r="N54" i="23"/>
  <c r="G54" i="23"/>
  <c r="R49" i="23"/>
  <c r="AG48" i="23"/>
  <c r="AE48" i="23"/>
  <c r="W48" i="23"/>
  <c r="S48" i="23"/>
  <c r="P48" i="23"/>
  <c r="J48" i="23"/>
  <c r="M42" i="23"/>
  <c r="AK8" i="23"/>
  <c r="AK15" i="23"/>
  <c r="AK21" i="23"/>
  <c r="AI95" i="22"/>
  <c r="Y67" i="20"/>
  <c r="AG66" i="20"/>
  <c r="AE66" i="20"/>
  <c r="Z66" i="20"/>
  <c r="W66" i="20"/>
  <c r="I66" i="20"/>
  <c r="T61" i="20"/>
  <c r="AG60" i="20"/>
  <c r="U60" i="20"/>
  <c r="R60" i="20"/>
  <c r="L60" i="20"/>
  <c r="W55" i="20"/>
  <c r="X54" i="20"/>
  <c r="U54" i="20"/>
  <c r="Q54" i="20"/>
  <c r="O54" i="20"/>
  <c r="H54" i="20"/>
  <c r="AJ83" i="20"/>
  <c r="AJ83" i="18"/>
  <c r="AI88" i="19"/>
  <c r="AA73" i="22"/>
  <c r="S79" i="18"/>
  <c r="AB73" i="18"/>
  <c r="AA73" i="19"/>
  <c r="AF128" i="22"/>
  <c r="AK39" i="22"/>
  <c r="AK45" i="22"/>
  <c r="AK51" i="22"/>
  <c r="AK57" i="22"/>
  <c r="AK63" i="22"/>
  <c r="AK69" i="22"/>
  <c r="AK75" i="22"/>
  <c r="AK81" i="22"/>
  <c r="AK87" i="22"/>
  <c r="AK93" i="22"/>
  <c r="AK99" i="22"/>
  <c r="AK105" i="22"/>
  <c r="AK111" i="22"/>
  <c r="AK117" i="22"/>
  <c r="L79" i="22"/>
  <c r="R78" i="22"/>
  <c r="M78" i="22"/>
  <c r="J78" i="22"/>
  <c r="D78" i="22"/>
  <c r="U73" i="22"/>
  <c r="F73" i="22"/>
  <c r="V72" i="22"/>
  <c r="S72" i="22"/>
  <c r="O72" i="22"/>
  <c r="AO31" i="22"/>
  <c r="AO37" i="22"/>
  <c r="AO43" i="22"/>
  <c r="AO49" i="22"/>
  <c r="AO55" i="22"/>
  <c r="AO61" i="22"/>
  <c r="R49" i="22"/>
  <c r="AG48" i="22"/>
  <c r="AE48" i="22"/>
  <c r="W48" i="22"/>
  <c r="S48" i="22"/>
  <c r="P48" i="22"/>
  <c r="J48" i="22"/>
  <c r="M42" i="22"/>
  <c r="AK8" i="22"/>
  <c r="AK15" i="22"/>
  <c r="AK21" i="22"/>
  <c r="AF128" i="19"/>
  <c r="AD128" i="18"/>
  <c r="AK8" i="19"/>
  <c r="AK15" i="19"/>
  <c r="AK21" i="19"/>
  <c r="AP31" i="20"/>
  <c r="AP37" i="20"/>
  <c r="AP43" i="20"/>
  <c r="AP49" i="20"/>
  <c r="AP55" i="20"/>
  <c r="AP61" i="20"/>
  <c r="AO31" i="19"/>
  <c r="AO37" i="19"/>
  <c r="AO43" i="19"/>
  <c r="AO49" i="19"/>
  <c r="AO55" i="19"/>
  <c r="AO61" i="19"/>
  <c r="AL8" i="20"/>
  <c r="AL15" i="20"/>
  <c r="AL21" i="20"/>
  <c r="M79" i="20"/>
  <c r="S78" i="20"/>
  <c r="N78" i="20"/>
  <c r="K78" i="20"/>
  <c r="E78" i="20"/>
  <c r="V73" i="20"/>
  <c r="G73" i="20"/>
  <c r="AB72" i="20"/>
  <c r="W72" i="20"/>
  <c r="T72" i="20"/>
  <c r="P72" i="20"/>
  <c r="S49" i="20"/>
  <c r="AH48" i="20"/>
  <c r="AF48" i="20"/>
  <c r="X48" i="20"/>
  <c r="T48" i="20"/>
  <c r="Q48" i="20"/>
  <c r="K48" i="20"/>
  <c r="N42" i="20"/>
  <c r="L79" i="19"/>
  <c r="R78" i="19"/>
  <c r="M78" i="19"/>
  <c r="J78" i="19"/>
  <c r="D78" i="19"/>
  <c r="U73" i="19"/>
  <c r="F73" i="19"/>
  <c r="V72" i="19"/>
  <c r="S72" i="19"/>
  <c r="O72" i="19"/>
  <c r="M42" i="19"/>
  <c r="AL8" i="18"/>
  <c r="AL15" i="18"/>
  <c r="AL21" i="18"/>
  <c r="M79" i="18"/>
  <c r="N78" i="18"/>
  <c r="K78" i="18"/>
  <c r="E78" i="18"/>
  <c r="V73" i="18"/>
  <c r="G73" i="18"/>
  <c r="W72" i="18"/>
  <c r="T72" i="18"/>
  <c r="P72" i="18"/>
  <c r="S49" i="18"/>
  <c r="AH48" i="18"/>
  <c r="AF48" i="18"/>
  <c r="X48" i="18"/>
  <c r="T48" i="18"/>
  <c r="Q48" i="18"/>
  <c r="K48" i="18"/>
  <c r="N42" i="18"/>
</calcChain>
</file>

<file path=xl/sharedStrings.xml><?xml version="1.0" encoding="utf-8"?>
<sst xmlns="http://schemas.openxmlformats.org/spreadsheetml/2006/main" count="1474" uniqueCount="209">
  <si>
    <t>March</t>
  </si>
  <si>
    <t>HYT</t>
  </si>
  <si>
    <t>Fedreal Holiday</t>
  </si>
  <si>
    <t>Federal Holiday</t>
  </si>
  <si>
    <t>Leave (Hawaii) 1 Day</t>
  </si>
  <si>
    <t>Duty</t>
  </si>
  <si>
    <t>TDY - Hawaii - CC Conference</t>
  </si>
  <si>
    <t>TDY -CONUS - AFA</t>
  </si>
  <si>
    <t>Sprint Exercise</t>
  </si>
  <si>
    <t>SuperBowl</t>
  </si>
  <si>
    <t>Combat Readiness Inspection</t>
  </si>
  <si>
    <t>Remaining Leave</t>
  </si>
  <si>
    <t>PTDY</t>
  </si>
  <si>
    <t>TDY -Yokota - CoC</t>
  </si>
  <si>
    <t>TDY -Okinawa - Med Apt</t>
  </si>
  <si>
    <t>Retirement</t>
  </si>
  <si>
    <t>CoR</t>
  </si>
  <si>
    <t>Duty / Outprocessing</t>
  </si>
  <si>
    <t>Orders Available</t>
  </si>
  <si>
    <t>Leave (3 days)</t>
  </si>
  <si>
    <t>Initial Individual Counseling</t>
  </si>
  <si>
    <t>Pre Separation Brief</t>
  </si>
  <si>
    <t>Three-Day Transition Workshop</t>
  </si>
  <si>
    <t>Entrepreneurship 2-Day Seminar</t>
  </si>
  <si>
    <t>Career &amp; Credential Exploration 2 Day Seminar</t>
  </si>
  <si>
    <t>Employment 2 Day Seminar</t>
  </si>
  <si>
    <t>Education  2 Day Seminar</t>
  </si>
  <si>
    <t>Capstone</t>
  </si>
  <si>
    <t>VA Individual Appointments</t>
  </si>
  <si>
    <t>Jorge Retire</t>
  </si>
  <si>
    <t>Ret eff</t>
  </si>
  <si>
    <t>Duty - TAPS</t>
  </si>
  <si>
    <t>Leave (18 Days)</t>
  </si>
  <si>
    <t>FINAL OUT</t>
  </si>
  <si>
    <t>LEAVE 5 DAYS</t>
  </si>
  <si>
    <t>DUTY</t>
  </si>
  <si>
    <t>PTDY (3 Days) (30 Days Total)</t>
  </si>
  <si>
    <t>Leave (Hawaii) 7 Days</t>
  </si>
  <si>
    <t xml:space="preserve">DUTY/OUTPROCESSING </t>
  </si>
  <si>
    <t>Retire 1 JuL 27</t>
  </si>
  <si>
    <t xml:space="preserve"> Retire 1 Jun 27</t>
  </si>
  <si>
    <t xml:space="preserve"> Retire 1 May 27</t>
  </si>
  <si>
    <t>Use/Lose</t>
  </si>
  <si>
    <t>American day</t>
  </si>
  <si>
    <t>American Day</t>
  </si>
  <si>
    <t>TERMINAL LEAVE (27 DAYS) TOTAL: 57 DAYS</t>
  </si>
  <si>
    <t>TERMINAL LEAVE (30 DAYS) TOTAL: 57 DAYS</t>
  </si>
  <si>
    <t>Skilbridge (4 Days)  TOTAL: 60DAYS</t>
  </si>
  <si>
    <t>Skillbridge (28 Days)  TOTAL: 60 DAYS</t>
  </si>
  <si>
    <t>Skillbridge  (28 Days) TOTAL: 60 DAYS</t>
  </si>
  <si>
    <t>April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</si>
  <si>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</si>
  <si>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</si>
  <si>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</si>
  <si>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</si>
  <si>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</si>
  <si>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</si>
  <si>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</si>
  <si>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</si>
  <si>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</si>
  <si>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</si>
  <si>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</si>
  <si>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</si>
  <si>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Duty Out Processing</t>
  </si>
  <si>
    <t>Duty/Outprocessing</t>
  </si>
  <si>
    <t>PTDY (30 Days) (30 Days Total)</t>
  </si>
  <si>
    <t>TERMINAL LEAVE (28 DAYS) TOTAL: 59 DAYS</t>
  </si>
  <si>
    <t>Terminal Leave (31 DAYS) TOTAL: 59 DAYS</t>
  </si>
  <si>
    <t>Skilbridge (31 Days)  TOTAL: 60 DAYS</t>
  </si>
  <si>
    <t>Skillbridge (1 days)  TOTAL: 60 DAYS</t>
  </si>
  <si>
    <t>LEAVE (13 DAYS)</t>
  </si>
  <si>
    <t>PTDY (28 Days) TOTAL: 30 DAYS</t>
  </si>
  <si>
    <t>PTDY (2 Days) TOTAL: 30 DAYS</t>
  </si>
  <si>
    <t>DUTY/OUTPROCESSING/VA APPTS</t>
  </si>
  <si>
    <t>DUTY/OUTPROCESSING</t>
  </si>
  <si>
    <t>TERMINAL LEAVE (31 DAYS) TOTAL: 62 Days</t>
  </si>
  <si>
    <t>Terminal Leave (30  DAYS) TOTAL: 62 DAYS</t>
  </si>
  <si>
    <t>Skillbridge (30 days)  TOTAL: 60 DAYS</t>
  </si>
  <si>
    <t>PTDY (28 DAYS) TOTAL: 30 DAYS</t>
  </si>
  <si>
    <t>PTDY (2 DAYS) TOTAL: 30 DAYS</t>
  </si>
  <si>
    <t>MIN MANNING</t>
  </si>
  <si>
    <t>Martin Luther King</t>
  </si>
  <si>
    <t>Presidents Day</t>
  </si>
  <si>
    <t>Labor Day</t>
  </si>
  <si>
    <t>Columbus Day</t>
  </si>
  <si>
    <t>Veterans Day</t>
  </si>
  <si>
    <t>Duty Days</t>
  </si>
  <si>
    <t>Leave</t>
  </si>
  <si>
    <t>LEAVE 4 DAYS</t>
  </si>
  <si>
    <t>Orders available</t>
  </si>
  <si>
    <t>Duty days</t>
  </si>
  <si>
    <t>Juneteenth</t>
  </si>
  <si>
    <t>Skillbridge  (1 Days) TOTAL: 60 DAYS</t>
  </si>
  <si>
    <t>Leave (3 Days) TOTAL 62 DAYS</t>
  </si>
  <si>
    <t>TERMINAL LEAVE (27 DAYS) TOTAL: 62 DAYS</t>
  </si>
  <si>
    <t>TERMINAL LEAVE (31 DAYS) TOTAL: 62 DAYS</t>
  </si>
  <si>
    <t>Skillbridge  (31 Days) TOTAL: 60 DAYS</t>
  </si>
  <si>
    <t>PTDY (29 DAYS) : TOTAL: 29 DAYS</t>
  </si>
  <si>
    <t>Leave (8 DAYS)</t>
  </si>
  <si>
    <t xml:space="preserve">DUTY OUTPROCESSING </t>
  </si>
  <si>
    <t>DUTY OUTPROCESSING/VA APPTS</t>
  </si>
  <si>
    <t>PTDY (1 DAYS) : TOTAL: 30 DAYS</t>
  </si>
  <si>
    <t>Skillbridge  (29 Days) TOTAL: 60 DAYS</t>
  </si>
  <si>
    <t>Leave 18 Days</t>
  </si>
  <si>
    <t>Going Away</t>
  </si>
  <si>
    <t xml:space="preserve">  1 Apr 27</t>
  </si>
  <si>
    <t>AFSA (Orlando FL)</t>
  </si>
  <si>
    <t>Leave (12 Days)</t>
  </si>
  <si>
    <t>LEAVE (5 DAYS)</t>
  </si>
  <si>
    <t>CoC</t>
  </si>
  <si>
    <t>Trunk or Treat</t>
  </si>
  <si>
    <t>Family Day</t>
  </si>
  <si>
    <t>TERMINAL LEAVE (31 DAYS) TOTAL: 120 Days</t>
  </si>
  <si>
    <t>Skillbridge (30 days)  TOTAL: 120 DAYS</t>
  </si>
  <si>
    <t>Skilbridge (31 Days)  TOTAL: 120 DAYS</t>
  </si>
  <si>
    <t>Skilbridge (28 Days)  TOTAL: 120 DAYS</t>
  </si>
  <si>
    <t>PTDY (30 Days)</t>
  </si>
  <si>
    <t>TERMINAL LEAVE (30 DAYS) TOTAL: 31 DAYS</t>
  </si>
  <si>
    <t>Leave (8 Days)</t>
  </si>
  <si>
    <t>Skillbridge (28 Days)  TOTAL: 120 DAYS</t>
  </si>
  <si>
    <t>Leave (8 days) TOTAL: 47 Days</t>
  </si>
  <si>
    <t>PTDY (27 Days) TOTAL: 30 Days</t>
  </si>
  <si>
    <t>Skillbridge (28 Days) TOTAL: 120 Days</t>
  </si>
  <si>
    <t>Skilbridge (3 Days) TOTAL: 120 Days</t>
  </si>
  <si>
    <t>LEAVE (6 DAYS)</t>
  </si>
  <si>
    <t>Final Out</t>
  </si>
  <si>
    <t>Leave (16 Days)</t>
  </si>
  <si>
    <t>Leave (30 Days)</t>
  </si>
  <si>
    <t>Duty (12 Days)</t>
  </si>
  <si>
    <t>Leave (5 Days)</t>
  </si>
  <si>
    <t>Leave (18 Days) TOTAL: 19 Days</t>
  </si>
  <si>
    <t>LEAVE (6 DAYS) TOTAL: 12 DAYS</t>
  </si>
  <si>
    <t>PTDY (28 Days0 TOTAL: 30 DAYS</t>
  </si>
  <si>
    <t>PTDY (2 Days) (30 Days Total)</t>
  </si>
  <si>
    <t>LEAVE (1 DAY)</t>
  </si>
  <si>
    <t>Leave 17 Days) TOTAL: 17 days</t>
  </si>
  <si>
    <t>Leave (16 Days) TOTAL: 17 DAYS</t>
  </si>
  <si>
    <t>USFJ TDY (28 DAYS) TOTAL:</t>
  </si>
  <si>
    <t xml:space="preserve">USFJ TDY (30 DAYS) TOTAL: </t>
  </si>
  <si>
    <t>DUTY (2 DAYS)</t>
  </si>
  <si>
    <t>DUTY (3 DAYS)</t>
  </si>
  <si>
    <t>DUTY (5 DAYS)</t>
  </si>
  <si>
    <t>(1 DAY)</t>
  </si>
  <si>
    <t>DUTY (4 DAYS)</t>
  </si>
  <si>
    <t>DUTY (1 DAY)</t>
  </si>
  <si>
    <t>DUTY (5 DAYS) FINAL OUT</t>
  </si>
  <si>
    <t>DUTY 4 DAYS</t>
  </si>
  <si>
    <t>DUTY (3 DAY)</t>
  </si>
  <si>
    <t>DUTY (1 DAYS)</t>
  </si>
  <si>
    <t>LEAVE (10 DAYS) TOTAL: 10 DAYS</t>
  </si>
  <si>
    <t>LEAVE (8 DAYS) TOTAL: 38 DAYS</t>
  </si>
  <si>
    <t>Leave (30 Days) TOTAL: 38 DAYS</t>
  </si>
  <si>
    <t>Leave (25 Days) TOTAL: 33 DAYS</t>
  </si>
  <si>
    <t>LEAVE (5 DAYS) TOTAL: 5 DAYS</t>
  </si>
  <si>
    <t>DUTY (5 DAYS) / VA APPTS</t>
  </si>
  <si>
    <t>DUTY (4 DAYS) / VA APPTS</t>
  </si>
  <si>
    <t>DUTY ( DAYS) FINAL OUT</t>
  </si>
  <si>
    <t>DUTY USFJ (30 DAYS) TOTAL: 61 DAYS</t>
  </si>
  <si>
    <t xml:space="preserve">DUTY USFJ (31 DAYS) TOTAL: 61 DAYS </t>
  </si>
  <si>
    <t>LEAVE (11 DAYS) TOTAL: 11 DAYS)</t>
  </si>
  <si>
    <t>LEAVE (8 DAYS)</t>
  </si>
  <si>
    <t>LEAVE (3 DAYS)</t>
  </si>
  <si>
    <t>Leave (2 Days)</t>
  </si>
  <si>
    <t>DUTY (5 DAYS) / FINAL OUT</t>
  </si>
  <si>
    <t>DUTY 1 DAY)</t>
  </si>
  <si>
    <t>DUTY (10 DAYS) TOTAL: 11 DAYS</t>
  </si>
  <si>
    <t>Terminal Leave (13  DAYS) TOTAL: 133 DAYS</t>
  </si>
  <si>
    <t>LEAVE (9 DAYS) TOTAL: 39 DAYS</t>
  </si>
  <si>
    <t>LEAVE (13 DAYS) TOTAL: 19 DAYS</t>
  </si>
  <si>
    <t>LEAVE (10 DAYS)</t>
  </si>
  <si>
    <t>Skillbridge(13 DAYS) TOTAL: 133 Days</t>
  </si>
  <si>
    <t>Terminal Leave (17 Days)</t>
  </si>
  <si>
    <t>EMERGENCY LEAVE (SF) (8 DAYS)</t>
  </si>
  <si>
    <t>DUTY USFJ (30 DAYS) TOTAL:61 DAYS</t>
  </si>
  <si>
    <t>LEAVE (2DAYS)</t>
  </si>
  <si>
    <t>Leave (30 Days) TOTAL: 32 DAYS</t>
  </si>
  <si>
    <t>Skillbridge(31 DAYS) TOTAL: 133 Days</t>
  </si>
  <si>
    <t>Skilbridge (31 Days)  TOTAL: 133 DAYS</t>
  </si>
  <si>
    <t>Skilbridge (28 Days)  TOTAL: 133 DAYS</t>
  </si>
  <si>
    <t>Skillbridge (30 days)  TOTAL: 133 DAYS</t>
  </si>
  <si>
    <t>Leave (23 Days) / Outprocessing</t>
  </si>
  <si>
    <t>EMERGENCY LEAVE (8 DAYS)</t>
  </si>
  <si>
    <t>USFJ</t>
  </si>
  <si>
    <t>Emergency Leave (8 Days)</t>
  </si>
  <si>
    <t>Leave (4 Days)</t>
  </si>
  <si>
    <t>Leave (30 Days) TOTAL:  39 Days</t>
  </si>
  <si>
    <t>Leave (9 Days) TOTAL: 39 DAYS</t>
  </si>
  <si>
    <t>Skillbridge  (31 Days) TOTAL: 117 DAYS</t>
  </si>
  <si>
    <t>Skillbridge (31 Days) TOTAL: 117 Days</t>
  </si>
  <si>
    <t>Skillbridge (28 Days)  TOTAL: 117 DAYS</t>
  </si>
  <si>
    <t>Skilbridge (30 Days)  TOTAL: 117 DAYS</t>
  </si>
  <si>
    <t>PTDY (27 DAYS) TOTAL: 30 DAYS</t>
  </si>
  <si>
    <t>PTDY (27 DAYS) TOTAL: 30 DAYS)</t>
  </si>
  <si>
    <t>PTDY (3 DAYS)</t>
  </si>
  <si>
    <t>Leave 30 Days</t>
  </si>
  <si>
    <t>LV</t>
  </si>
  <si>
    <t>qcdecc</t>
  </si>
  <si>
    <t>duty</t>
  </si>
  <si>
    <t>Emergency Leave (8 days(</t>
  </si>
  <si>
    <t>EMERGENCY LEAVE</t>
  </si>
  <si>
    <t xml:space="preserve">LEAVE (26 DAYS) </t>
  </si>
  <si>
    <t>DUTY / OUT PROCESS / VA APPTS</t>
  </si>
  <si>
    <t>Skillbridge (27 Days) Total: 60 Days</t>
  </si>
  <si>
    <t>Terminal Leave (30 Days) TOTAL: 60 DAYS</t>
  </si>
  <si>
    <t>TERMINAL LEAVE (30 DAYS) TOTAL: 60 DAYS</t>
  </si>
  <si>
    <t>SB</t>
  </si>
  <si>
    <t>DS</t>
  </si>
  <si>
    <t xml:space="preserve">Duty </t>
  </si>
  <si>
    <t>Leave (30 Days) TOTAL: 25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</si>
</sst>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47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2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24"/>
      <color rgb="FFFF0000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34E08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505050"/>
      </left>
      <right/>
      <top style="thin">
        <color indexed="64"/>
      </top>
      <bottom/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3" borderId="1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6" xfId="0" applyFill="1" applyBorder="1"/>
    <xf numFmtId="0" fontId="0" fillId="3" borderId="9" xfId="0" applyFill="1" applyBorder="1"/>
    <xf numFmtId="0" fontId="0" fillId="4" borderId="5" xfId="0" applyFill="1" applyBorder="1"/>
    <xf numFmtId="0" fontId="0" fillId="4" borderId="7" xfId="0" applyFill="1" applyBorder="1"/>
    <xf numFmtId="0" fontId="0" fillId="5" borderId="5" xfId="0" applyFill="1" applyBorder="1"/>
    <xf numFmtId="0" fontId="0" fillId="5" borderId="7" xfId="0" applyFill="1" applyBorder="1"/>
    <xf numFmtId="0" fontId="0" fillId="4" borderId="5" xfId="0" applyFill="1" applyBorder="1" applyAlignment="1">
      <alignment horizontal="center"/>
    </xf>
    <xf numFmtId="0" fontId="0" fillId="9" borderId="5" xfId="0" applyFill="1" applyBorder="1"/>
    <xf numFmtId="0" fontId="0" fillId="9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5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6" xfId="0" applyFill="1" applyBorder="1"/>
    <xf numFmtId="0" fontId="0" fillId="0" borderId="9" xfId="0" applyFill="1" applyBorder="1"/>
    <xf numFmtId="0" fontId="0" fillId="0" borderId="2" xfId="0" applyFill="1" applyBorder="1"/>
    <xf numFmtId="0" fontId="0" fillId="0" borderId="3" xfId="0" applyFill="1" applyBorder="1"/>
    <xf numFmtId="0" fontId="0" fillId="10" borderId="1" xfId="0" applyFill="1" applyBorder="1"/>
    <xf numFmtId="0" fontId="0" fillId="10" borderId="8" xfId="0" applyFill="1" applyBorder="1"/>
    <xf numFmtId="0" fontId="0" fillId="10" borderId="6" xfId="0" applyFill="1" applyBorder="1"/>
    <xf numFmtId="0" fontId="0" fillId="10" borderId="9" xfId="0" applyFill="1" applyBorder="1"/>
    <xf numFmtId="0" fontId="0" fillId="10" borderId="5" xfId="0" applyFill="1" applyBorder="1"/>
    <xf numFmtId="0" fontId="0" fillId="10" borderId="7" xfId="0" applyFill="1" applyBorder="1"/>
    <xf numFmtId="0" fontId="0" fillId="10" borderId="3" xfId="0" applyFill="1" applyBorder="1"/>
    <xf numFmtId="0" fontId="2" fillId="0" borderId="16" xfId="0" applyFont="1" applyFill="1" applyBorder="1" applyAlignment="1">
      <alignment horizontal="center"/>
    </xf>
    <xf numFmtId="0" fontId="2" fillId="0" borderId="2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13" borderId="5" xfId="0" applyFill="1" applyBorder="1"/>
    <xf numFmtId="0" fontId="0" fillId="14" borderId="5" xfId="0" applyFill="1" applyBorder="1"/>
    <xf numFmtId="0" fontId="4" fillId="0" borderId="30" xfId="0" applyFont="1" applyBorder="1" applyAlignment="1">
      <alignment horizontal="center"/>
    </xf>
    <xf numFmtId="0" fontId="4" fillId="0" borderId="29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8" xfId="0" applyBorder="1"/>
    <xf numFmtId="0" fontId="0" fillId="3" borderId="38" xfId="0" applyFill="1" applyBorder="1"/>
    <xf numFmtId="0" fontId="0" fillId="0" borderId="26" xfId="0" applyBorder="1"/>
    <xf numFmtId="0" fontId="0" fillId="3" borderId="26" xfId="0" applyFill="1" applyBorder="1"/>
    <xf numFmtId="0" fontId="0" fillId="0" borderId="39" xfId="0" applyBorder="1"/>
    <xf numFmtId="0" fontId="0" fillId="0" borderId="25" xfId="0" applyBorder="1"/>
    <xf numFmtId="0" fontId="0" fillId="3" borderId="25" xfId="0" applyFill="1" applyBorder="1"/>
    <xf numFmtId="0" fontId="0" fillId="0" borderId="3" xfId="0" applyBorder="1" applyAlignment="1"/>
    <xf numFmtId="0" fontId="0" fillId="0" borderId="15" xfId="0" applyBorder="1" applyAlignment="1"/>
    <xf numFmtId="0" fontId="0" fillId="16" borderId="9" xfId="0" applyFill="1" applyBorder="1"/>
    <xf numFmtId="0" fontId="2" fillId="0" borderId="0" xfId="0" applyFont="1"/>
    <xf numFmtId="0" fontId="0" fillId="0" borderId="38" xfId="0" applyBorder="1" applyAlignment="1"/>
    <xf numFmtId="0" fontId="0" fillId="3" borderId="38" xfId="0" applyFill="1" applyBorder="1" applyAlignment="1"/>
    <xf numFmtId="0" fontId="0" fillId="4" borderId="1" xfId="0" applyFill="1" applyBorder="1"/>
    <xf numFmtId="0" fontId="0" fillId="0" borderId="6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3" borderId="24" xfId="0" applyFill="1" applyBorder="1"/>
    <xf numFmtId="0" fontId="0" fillId="3" borderId="23" xfId="0" applyFill="1" applyBorder="1"/>
    <xf numFmtId="0" fontId="0" fillId="0" borderId="44" xfId="0" applyBorder="1" applyAlignment="1"/>
    <xf numFmtId="0" fontId="0" fillId="0" borderId="45" xfId="0" applyBorder="1" applyAlignment="1"/>
    <xf numFmtId="0" fontId="2" fillId="14" borderId="46" xfId="0" applyFont="1" applyFill="1" applyBorder="1" applyAlignment="1"/>
    <xf numFmtId="0" fontId="0" fillId="3" borderId="43" xfId="0" applyFill="1" applyBorder="1"/>
    <xf numFmtId="0" fontId="2" fillId="10" borderId="46" xfId="0" applyFont="1" applyFill="1" applyBorder="1" applyAlignment="1"/>
    <xf numFmtId="0" fontId="0" fillId="0" borderId="46" xfId="0" applyBorder="1" applyAlignment="1"/>
    <xf numFmtId="0" fontId="0" fillId="3" borderId="46" xfId="0" applyFill="1" applyBorder="1" applyAlignment="1"/>
    <xf numFmtId="0" fontId="0" fillId="0" borderId="15" xfId="0" applyBorder="1"/>
    <xf numFmtId="0" fontId="0" fillId="0" borderId="48" xfId="0" applyBorder="1"/>
    <xf numFmtId="0" fontId="0" fillId="3" borderId="48" xfId="0" applyFill="1" applyBorder="1"/>
    <xf numFmtId="0" fontId="0" fillId="17" borderId="0" xfId="0" applyFill="1"/>
    <xf numFmtId="0" fontId="0" fillId="18" borderId="1" xfId="0" applyFill="1" applyBorder="1"/>
    <xf numFmtId="0" fontId="0" fillId="18" borderId="46" xfId="0" applyFill="1" applyBorder="1" applyAlignment="1"/>
    <xf numFmtId="0" fontId="0" fillId="18" borderId="8" xfId="0" applyFill="1" applyBorder="1"/>
    <xf numFmtId="0" fontId="0" fillId="19" borderId="1" xfId="0" applyFill="1" applyBorder="1"/>
    <xf numFmtId="0" fontId="0" fillId="19" borderId="5" xfId="0" applyFill="1" applyBorder="1"/>
    <xf numFmtId="0" fontId="0" fillId="19" borderId="8" xfId="0" applyFill="1" applyBorder="1"/>
    <xf numFmtId="0" fontId="0" fillId="23" borderId="1" xfId="0" applyFill="1" applyBorder="1"/>
    <xf numFmtId="0" fontId="0" fillId="25" borderId="1" xfId="0" applyFill="1" applyBorder="1"/>
    <xf numFmtId="0" fontId="0" fillId="11" borderId="48" xfId="0" applyFill="1" applyBorder="1"/>
    <xf numFmtId="0" fontId="0" fillId="0" borderId="31" xfId="0" applyBorder="1"/>
    <xf numFmtId="0" fontId="0" fillId="3" borderId="49" xfId="0" applyFill="1" applyBorder="1"/>
    <xf numFmtId="0" fontId="0" fillId="0" borderId="52" xfId="0" applyBorder="1" applyAlignment="1"/>
    <xf numFmtId="0" fontId="0" fillId="14" borderId="46" xfId="0" applyFill="1" applyBorder="1" applyAlignment="1"/>
    <xf numFmtId="0" fontId="0" fillId="14" borderId="10" xfId="0" applyFill="1" applyBorder="1" applyAlignment="1"/>
    <xf numFmtId="0" fontId="2" fillId="7" borderId="10" xfId="0" applyFont="1" applyFill="1" applyBorder="1" applyAlignment="1"/>
    <xf numFmtId="0" fontId="0" fillId="0" borderId="24" xfId="0" applyBorder="1"/>
    <xf numFmtId="0" fontId="0" fillId="10" borderId="25" xfId="0" applyFill="1" applyBorder="1"/>
    <xf numFmtId="0" fontId="0" fillId="10" borderId="26" xfId="0" applyFill="1" applyBorder="1"/>
    <xf numFmtId="0" fontId="0" fillId="14" borderId="0" xfId="0" applyFill="1"/>
    <xf numFmtId="0" fontId="0" fillId="14" borderId="0" xfId="0" applyFill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2" fillId="10" borderId="24" xfId="0" applyFont="1" applyFill="1" applyBorder="1" applyAlignment="1">
      <alignment horizontal="center"/>
    </xf>
    <xf numFmtId="17" fontId="0" fillId="2" borderId="40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15" borderId="0" xfId="0" applyFill="1" applyAlignment="1"/>
    <xf numFmtId="0" fontId="0" fillId="15" borderId="49" xfId="0" applyFill="1" applyBorder="1" applyAlignment="1"/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3" borderId="55" xfId="0" applyFill="1" applyBorder="1"/>
    <xf numFmtId="0" fontId="0" fillId="3" borderId="40" xfId="0" applyFill="1" applyBorder="1"/>
    <xf numFmtId="0" fontId="0" fillId="4" borderId="26" xfId="0" applyFill="1" applyBorder="1"/>
    <xf numFmtId="0" fontId="0" fillId="19" borderId="26" xfId="0" applyFill="1" applyBorder="1"/>
    <xf numFmtId="0" fontId="2" fillId="14" borderId="15" xfId="0" applyFont="1" applyFill="1" applyBorder="1" applyAlignment="1"/>
    <xf numFmtId="0" fontId="0" fillId="0" borderId="0" xfId="0" applyAlignment="1">
      <alignment horizontal="center"/>
    </xf>
    <xf numFmtId="0" fontId="8" fillId="0" borderId="0" xfId="0" applyFont="1"/>
    <xf numFmtId="0" fontId="2" fillId="13" borderId="8" xfId="0" applyFont="1" applyFill="1" applyBorder="1"/>
    <xf numFmtId="0" fontId="0" fillId="0" borderId="0" xfId="0" applyAlignment="1">
      <alignment horizontal="center"/>
    </xf>
    <xf numFmtId="0" fontId="2" fillId="8" borderId="11" xfId="0" applyFont="1" applyFill="1" applyBorder="1" applyAlignment="1"/>
    <xf numFmtId="0" fontId="2" fillId="8" borderId="12" xfId="0" applyFont="1" applyFill="1" applyBorder="1" applyAlignment="1"/>
    <xf numFmtId="0" fontId="7" fillId="6" borderId="13" xfId="0" applyFont="1" applyFill="1" applyBorder="1" applyAlignment="1"/>
    <xf numFmtId="0" fontId="9" fillId="7" borderId="36" xfId="0" applyFont="1" applyFill="1" applyBorder="1" applyAlignment="1"/>
    <xf numFmtId="0" fontId="10" fillId="5" borderId="14" xfId="0" applyFont="1" applyFill="1" applyBorder="1" applyAlignment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19" borderId="40" xfId="0" applyFill="1" applyBorder="1"/>
    <xf numFmtId="0" fontId="0" fillId="14" borderId="26" xfId="0" applyFill="1" applyBorder="1"/>
    <xf numFmtId="0" fontId="0" fillId="28" borderId="8" xfId="0" applyFill="1" applyBorder="1"/>
    <xf numFmtId="0" fontId="11" fillId="0" borderId="0" xfId="0" applyFont="1" applyAlignment="1">
      <alignment horizontal="center"/>
    </xf>
    <xf numFmtId="0" fontId="0" fillId="20" borderId="1" xfId="0" applyFill="1" applyBorder="1"/>
    <xf numFmtId="0" fontId="0" fillId="20" borderId="44" xfId="0" applyFill="1" applyBorder="1"/>
    <xf numFmtId="0" fontId="0" fillId="20" borderId="8" xfId="0" applyFill="1" applyBorder="1"/>
    <xf numFmtId="0" fontId="9" fillId="5" borderId="41" xfId="0" applyFont="1" applyFill="1" applyBorder="1" applyAlignment="1"/>
    <xf numFmtId="0" fontId="2" fillId="5" borderId="12" xfId="0" applyFont="1" applyFill="1" applyBorder="1" applyAlignment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13" borderId="8" xfId="0" applyFill="1" applyBorder="1"/>
    <xf numFmtId="0" fontId="7" fillId="6" borderId="11" xfId="0" applyFont="1" applyFill="1" applyBorder="1" applyAlignment="1"/>
    <xf numFmtId="0" fontId="9" fillId="7" borderId="34" xfId="0" applyFont="1" applyFill="1" applyBorder="1" applyAlignment="1"/>
    <xf numFmtId="0" fontId="9" fillId="8" borderId="33" xfId="0" applyFont="1" applyFill="1" applyBorder="1" applyAlignment="1"/>
    <xf numFmtId="0" fontId="0" fillId="23" borderId="26" xfId="0" applyFill="1" applyBorder="1"/>
    <xf numFmtId="0" fontId="0" fillId="25" borderId="26" xfId="0" applyFill="1" applyBorder="1"/>
    <xf numFmtId="0" fontId="0" fillId="14" borderId="1" xfId="0" applyFill="1" applyBorder="1"/>
    <xf numFmtId="0" fontId="2" fillId="8" borderId="50" xfId="0" applyFont="1" applyFill="1" applyBorder="1" applyAlignment="1"/>
    <xf numFmtId="0" fontId="2" fillId="5" borderId="24" xfId="0" applyFont="1" applyFill="1" applyBorder="1" applyAlignment="1"/>
    <xf numFmtId="0" fontId="2" fillId="5" borderId="10" xfId="0" applyFont="1" applyFill="1" applyBorder="1" applyAlignment="1"/>
    <xf numFmtId="0" fontId="2" fillId="7" borderId="35" xfId="0" applyFont="1" applyFill="1" applyBorder="1" applyAlignment="1"/>
    <xf numFmtId="0" fontId="12" fillId="0" borderId="0" xfId="0" applyFont="1" applyAlignment="1">
      <alignment horizontal="center"/>
    </xf>
    <xf numFmtId="0" fontId="0" fillId="14" borderId="9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9" fillId="7" borderId="0" xfId="0" applyFont="1" applyFill="1" applyBorder="1" applyAlignment="1"/>
    <xf numFmtId="0" fontId="9" fillId="7" borderId="11" xfId="0" applyFont="1" applyFill="1" applyBorder="1" applyAlignment="1"/>
    <xf numFmtId="0" fontId="9" fillId="7" borderId="41" xfId="0" applyFont="1" applyFill="1" applyBorder="1" applyAlignment="1"/>
    <xf numFmtId="0" fontId="9" fillId="7" borderId="49" xfId="0" applyFont="1" applyFill="1" applyBorder="1" applyAlignment="1"/>
    <xf numFmtId="0" fontId="9" fillId="7" borderId="33" xfId="0" applyFont="1" applyFill="1" applyBorder="1" applyAlignment="1"/>
    <xf numFmtId="0" fontId="9" fillId="5" borderId="11" xfId="0" applyFont="1" applyFill="1" applyBorder="1" applyAlignment="1"/>
    <xf numFmtId="0" fontId="0" fillId="11" borderId="48" xfId="0" applyFill="1" applyBorder="1" applyAlignment="1"/>
    <xf numFmtId="0" fontId="0" fillId="0" borderId="0" xfId="0" applyAlignment="1">
      <alignment horizontal="center"/>
    </xf>
    <xf numFmtId="0" fontId="0" fillId="3" borderId="1" xfId="0" applyFill="1" applyBorder="1" applyAlignment="1"/>
    <xf numFmtId="0" fontId="9" fillId="5" borderId="33" xfId="0" applyFont="1" applyFill="1" applyBorder="1" applyAlignment="1"/>
    <xf numFmtId="0" fontId="6" fillId="0" borderId="0" xfId="0" applyFont="1" applyAlignment="1">
      <alignment vertical="center" textRotation="90" readingOrder="1"/>
    </xf>
    <xf numFmtId="0" fontId="10" fillId="6" borderId="13" xfId="0" applyFont="1" applyFill="1" applyBorder="1" applyAlignment="1">
      <alignment horizontal="center"/>
    </xf>
    <xf numFmtId="0" fontId="6" fillId="0" borderId="0" xfId="0" applyFont="1" applyAlignment="1">
      <alignment horizontal="center" vertical="center" textRotation="90" readingOrder="1"/>
    </xf>
    <xf numFmtId="0" fontId="0" fillId="6" borderId="23" xfId="0" applyFill="1" applyBorder="1" applyAlignment="1"/>
    <xf numFmtId="0" fontId="0" fillId="6" borderId="24" xfId="0" applyFill="1" applyBorder="1" applyAlignment="1"/>
    <xf numFmtId="0" fontId="2" fillId="7" borderId="11" xfId="0" applyFont="1" applyFill="1" applyBorder="1" applyAlignment="1"/>
    <xf numFmtId="0" fontId="2" fillId="7" borderId="12" xfId="0" applyFont="1" applyFill="1" applyBorder="1" applyAlignment="1"/>
    <xf numFmtId="0" fontId="9" fillId="7" borderId="54" xfId="0" applyFont="1" applyFill="1" applyBorder="1" applyAlignment="1"/>
    <xf numFmtId="0" fontId="0" fillId="7" borderId="1" xfId="0" applyFill="1" applyBorder="1" applyAlignment="1">
      <alignment horizontal="center"/>
    </xf>
    <xf numFmtId="0" fontId="9" fillId="5" borderId="12" xfId="0" applyFont="1" applyFill="1" applyBorder="1" applyAlignment="1"/>
    <xf numFmtId="0" fontId="9" fillId="9" borderId="34" xfId="0" applyFont="1" applyFill="1" applyBorder="1" applyAlignment="1">
      <alignment horizontal="center"/>
    </xf>
    <xf numFmtId="17" fontId="0" fillId="2" borderId="20" xfId="0" applyNumberForma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7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5" borderId="14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7" borderId="54" xfId="0" applyFont="1" applyFill="1" applyBorder="1" applyAlignment="1">
      <alignment horizontal="center"/>
    </xf>
    <xf numFmtId="0" fontId="9" fillId="7" borderId="0" xfId="0" applyFont="1" applyFill="1" applyBorder="1" applyAlignment="1">
      <alignment horizontal="center"/>
    </xf>
    <xf numFmtId="0" fontId="0" fillId="9" borderId="32" xfId="0" applyFill="1" applyBorder="1" applyAlignment="1"/>
    <xf numFmtId="0" fontId="0" fillId="0" borderId="33" xfId="0" applyBorder="1" applyAlignment="1"/>
    <xf numFmtId="0" fontId="9" fillId="7" borderId="65" xfId="0" applyFont="1" applyFill="1" applyBorder="1" applyAlignment="1">
      <alignment horizontal="center"/>
    </xf>
    <xf numFmtId="0" fontId="9" fillId="7" borderId="68" xfId="0" applyFont="1" applyFill="1" applyBorder="1" applyAlignment="1">
      <alignment horizontal="center"/>
    </xf>
    <xf numFmtId="0" fontId="9" fillId="7" borderId="57" xfId="0" applyFont="1" applyFill="1" applyBorder="1" applyAlignment="1">
      <alignment horizontal="center"/>
    </xf>
    <xf numFmtId="0" fontId="9" fillId="7" borderId="49" xfId="0" applyFont="1" applyFill="1" applyBorder="1" applyAlignment="1">
      <alignment horizontal="center"/>
    </xf>
    <xf numFmtId="17" fontId="0" fillId="2" borderId="17" xfId="0" applyNumberForma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18" xfId="0" applyBorder="1" applyAlignment="1"/>
    <xf numFmtId="0" fontId="0" fillId="0" borderId="19" xfId="0" applyBorder="1" applyAlignment="1"/>
    <xf numFmtId="0" fontId="2" fillId="12" borderId="14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0" fillId="7" borderId="23" xfId="0" applyFill="1" applyBorder="1" applyAlignment="1"/>
    <xf numFmtId="0" fontId="0" fillId="7" borderId="11" xfId="0" applyFill="1" applyBorder="1" applyAlignment="1"/>
    <xf numFmtId="0" fontId="0" fillId="7" borderId="24" xfId="0" applyFill="1" applyBorder="1" applyAlignment="1"/>
    <xf numFmtId="0" fontId="2" fillId="11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1" borderId="24" xfId="0" applyFont="1" applyFill="1" applyBorder="1" applyAlignment="1">
      <alignment horizontal="center"/>
    </xf>
    <xf numFmtId="0" fontId="2" fillId="12" borderId="23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12" borderId="24" xfId="0" applyFont="1" applyFill="1" applyBorder="1" applyAlignment="1">
      <alignment horizontal="center"/>
    </xf>
    <xf numFmtId="0" fontId="6" fillId="0" borderId="0" xfId="0" applyFont="1" applyAlignment="1">
      <alignment horizontal="center" vertical="center" textRotation="90" readingOrder="1"/>
    </xf>
    <xf numFmtId="0" fontId="0" fillId="12" borderId="23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21" borderId="44" xfId="0" applyFill="1" applyBorder="1" applyAlignment="1">
      <alignment horizontal="left"/>
    </xf>
    <xf numFmtId="0" fontId="0" fillId="21" borderId="45" xfId="0" applyFill="1" applyBorder="1" applyAlignment="1">
      <alignment horizontal="left"/>
    </xf>
    <xf numFmtId="0" fontId="0" fillId="6" borderId="23" xfId="0" applyFill="1" applyBorder="1" applyAlignment="1">
      <alignment horizontal="left"/>
    </xf>
    <xf numFmtId="0" fontId="0" fillId="6" borderId="24" xfId="0" applyFill="1" applyBorder="1" applyAlignment="1">
      <alignment horizontal="left"/>
    </xf>
    <xf numFmtId="0" fontId="6" fillId="0" borderId="65" xfId="0" applyFont="1" applyBorder="1" applyAlignment="1">
      <alignment horizontal="center" vertical="center" textRotation="255" readingOrder="1"/>
    </xf>
    <xf numFmtId="0" fontId="0" fillId="9" borderId="23" xfId="0" applyFill="1" applyBorder="1" applyAlignment="1">
      <alignment horizontal="left"/>
    </xf>
    <xf numFmtId="0" fontId="0" fillId="9" borderId="24" xfId="0" applyFill="1" applyBorder="1" applyAlignment="1">
      <alignment horizontal="left"/>
    </xf>
    <xf numFmtId="0" fontId="0" fillId="20" borderId="35" xfId="0" applyFill="1" applyBorder="1" applyAlignment="1">
      <alignment horizontal="center"/>
    </xf>
    <xf numFmtId="0" fontId="0" fillId="20" borderId="36" xfId="0" applyFill="1" applyBorder="1" applyAlignment="1">
      <alignment horizontal="center"/>
    </xf>
    <xf numFmtId="0" fontId="0" fillId="22" borderId="35" xfId="0" applyFill="1" applyBorder="1" applyAlignment="1">
      <alignment horizontal="left"/>
    </xf>
    <xf numFmtId="0" fontId="0" fillId="22" borderId="37" xfId="0" applyFill="1" applyBorder="1" applyAlignment="1">
      <alignment horizontal="left"/>
    </xf>
    <xf numFmtId="0" fontId="0" fillId="26" borderId="23" xfId="0" applyFill="1" applyBorder="1" applyAlignment="1">
      <alignment horizontal="left"/>
    </xf>
    <xf numFmtId="0" fontId="0" fillId="26" borderId="12" xfId="0" applyFill="1" applyBorder="1" applyAlignment="1">
      <alignment horizontal="left"/>
    </xf>
    <xf numFmtId="0" fontId="9" fillId="7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5" borderId="34" xfId="0" applyFont="1" applyFill="1" applyBorder="1" applyAlignment="1">
      <alignment horizontal="center"/>
    </xf>
    <xf numFmtId="0" fontId="9" fillId="7" borderId="61" xfId="0" applyFont="1" applyFill="1" applyBorder="1" applyAlignment="1">
      <alignment horizontal="center"/>
    </xf>
    <xf numFmtId="0" fontId="9" fillId="7" borderId="34" xfId="0" applyFont="1" applyFill="1" applyBorder="1" applyAlignment="1">
      <alignment horizontal="center"/>
    </xf>
    <xf numFmtId="0" fontId="9" fillId="7" borderId="33" xfId="0" applyFont="1" applyFill="1" applyBorder="1" applyAlignment="1">
      <alignment horizontal="center"/>
    </xf>
    <xf numFmtId="0" fontId="7" fillId="6" borderId="54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7" fillId="6" borderId="51" xfId="0" applyFont="1" applyFill="1" applyBorder="1" applyAlignment="1">
      <alignment horizontal="center"/>
    </xf>
    <xf numFmtId="0" fontId="9" fillId="9" borderId="50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9" fillId="9" borderId="49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0" fillId="22" borderId="58" xfId="0" applyFill="1" applyBorder="1" applyAlignment="1">
      <alignment horizontal="left"/>
    </xf>
    <xf numFmtId="0" fontId="0" fillId="22" borderId="59" xfId="0" applyFill="1" applyBorder="1" applyAlignment="1">
      <alignment horizontal="left"/>
    </xf>
    <xf numFmtId="0" fontId="0" fillId="27" borderId="47" xfId="0" applyFill="1" applyBorder="1" applyAlignment="1">
      <alignment horizontal="center"/>
    </xf>
    <xf numFmtId="0" fontId="0" fillId="27" borderId="56" xfId="0" applyFill="1" applyBorder="1" applyAlignment="1">
      <alignment horizontal="center"/>
    </xf>
    <xf numFmtId="0" fontId="0" fillId="27" borderId="60" xfId="0" applyFill="1" applyBorder="1" applyAlignment="1">
      <alignment horizontal="center"/>
    </xf>
    <xf numFmtId="0" fontId="9" fillId="7" borderId="35" xfId="0" applyFont="1" applyFill="1" applyBorder="1" applyAlignment="1">
      <alignment horizontal="center"/>
    </xf>
    <xf numFmtId="0" fontId="9" fillId="7" borderId="36" xfId="0" applyFont="1" applyFill="1" applyBorder="1" applyAlignment="1">
      <alignment horizontal="center"/>
    </xf>
    <xf numFmtId="0" fontId="9" fillId="7" borderId="37" xfId="0" applyFont="1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20" borderId="11" xfId="0" applyFill="1" applyBorder="1" applyAlignment="1">
      <alignment horizontal="center"/>
    </xf>
    <xf numFmtId="0" fontId="0" fillId="20" borderId="24" xfId="0" applyFill="1" applyBorder="1" applyAlignment="1">
      <alignment horizontal="center"/>
    </xf>
    <xf numFmtId="0" fontId="9" fillId="9" borderId="41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0" fillId="20" borderId="47" xfId="0" applyFill="1" applyBorder="1" applyAlignment="1">
      <alignment horizontal="center"/>
    </xf>
    <xf numFmtId="0" fontId="0" fillId="20" borderId="56" xfId="0" applyFill="1" applyBorder="1" applyAlignment="1">
      <alignment horizontal="center"/>
    </xf>
    <xf numFmtId="0" fontId="0" fillId="20" borderId="57" xfId="0" applyFill="1" applyBorder="1" applyAlignment="1">
      <alignment horizontal="center"/>
    </xf>
    <xf numFmtId="0" fontId="0" fillId="24" borderId="44" xfId="0" applyFill="1" applyBorder="1" applyAlignment="1">
      <alignment horizontal="left"/>
    </xf>
    <xf numFmtId="0" fontId="0" fillId="24" borderId="45" xfId="0" applyFill="1" applyBorder="1" applyAlignment="1">
      <alignment horizontal="left"/>
    </xf>
    <xf numFmtId="0" fontId="0" fillId="27" borderId="57" xfId="0" applyFill="1" applyBorder="1" applyAlignment="1">
      <alignment horizontal="center"/>
    </xf>
    <xf numFmtId="0" fontId="0" fillId="29" borderId="16" xfId="0" applyFill="1" applyBorder="1" applyAlignment="1">
      <alignment horizontal="center"/>
    </xf>
    <xf numFmtId="0" fontId="0" fillId="29" borderId="14" xfId="0" applyFill="1" applyBorder="1" applyAlignment="1">
      <alignment horizontal="center"/>
    </xf>
    <xf numFmtId="0" fontId="0" fillId="29" borderId="28" xfId="0" applyFill="1" applyBorder="1" applyAlignment="1">
      <alignment horizontal="center"/>
    </xf>
    <xf numFmtId="0" fontId="0" fillId="24" borderId="50" xfId="0" applyFill="1" applyBorder="1" applyAlignment="1">
      <alignment horizontal="left"/>
    </xf>
    <xf numFmtId="0" fontId="0" fillId="24" borderId="51" xfId="0" applyFill="1" applyBorder="1" applyAlignment="1">
      <alignment horizontal="left"/>
    </xf>
    <xf numFmtId="0" fontId="7" fillId="6" borderId="14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9" fillId="5" borderId="33" xfId="0" applyFont="1" applyFill="1" applyBorder="1" applyAlignment="1">
      <alignment horizontal="center"/>
    </xf>
    <xf numFmtId="0" fontId="9" fillId="7" borderId="41" xfId="0" applyFont="1" applyFill="1" applyBorder="1" applyAlignment="1">
      <alignment horizontal="center"/>
    </xf>
    <xf numFmtId="0" fontId="2" fillId="8" borderId="50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8" borderId="49" xfId="0" applyFont="1" applyFill="1" applyBorder="1" applyAlignment="1">
      <alignment horizontal="center"/>
    </xf>
    <xf numFmtId="0" fontId="7" fillId="6" borderId="32" xfId="0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/>
    </xf>
    <xf numFmtId="0" fontId="7" fillId="6" borderId="41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0" fillId="27" borderId="11" xfId="0" applyFill="1" applyBorder="1" applyAlignment="1">
      <alignment horizontal="center"/>
    </xf>
    <xf numFmtId="0" fontId="0" fillId="27" borderId="12" xfId="0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9" fillId="8" borderId="0" xfId="0" applyFont="1" applyFill="1" applyBorder="1" applyAlignment="1">
      <alignment horizontal="center"/>
    </xf>
    <xf numFmtId="0" fontId="9" fillId="8" borderId="51" xfId="0" applyFont="1" applyFill="1" applyBorder="1" applyAlignment="1">
      <alignment horizontal="center"/>
    </xf>
    <xf numFmtId="0" fontId="9" fillId="7" borderId="31" xfId="0" applyFont="1" applyFill="1" applyBorder="1" applyAlignment="1">
      <alignment horizontal="center"/>
    </xf>
    <xf numFmtId="0" fontId="9" fillId="7" borderId="62" xfId="0" applyFont="1" applyFill="1" applyBorder="1" applyAlignment="1">
      <alignment horizontal="center"/>
    </xf>
    <xf numFmtId="0" fontId="9" fillId="7" borderId="67" xfId="0" applyFon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66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2" fillId="7" borderId="61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9" fillId="25" borderId="34" xfId="0" applyFont="1" applyFill="1" applyBorder="1" applyAlignment="1">
      <alignment horizontal="center"/>
    </xf>
    <xf numFmtId="0" fontId="9" fillId="25" borderId="41" xfId="0" applyFont="1" applyFill="1" applyBorder="1" applyAlignment="1">
      <alignment horizontal="center"/>
    </xf>
    <xf numFmtId="0" fontId="9" fillId="25" borderId="0" xfId="0" applyFont="1" applyFill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10" fillId="6" borderId="51" xfId="0" applyFont="1" applyFill="1" applyBorder="1" applyAlignment="1">
      <alignment horizontal="center"/>
    </xf>
    <xf numFmtId="0" fontId="9" fillId="7" borderId="61" xfId="0" applyFont="1" applyFill="1" applyBorder="1" applyAlignment="1">
      <alignment horizontal="left"/>
    </xf>
    <xf numFmtId="0" fontId="9" fillId="7" borderId="34" xfId="0" applyFont="1" applyFill="1" applyBorder="1" applyAlignment="1">
      <alignment horizontal="left"/>
    </xf>
    <xf numFmtId="0" fontId="0" fillId="20" borderId="64" xfId="0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9" fillId="5" borderId="24" xfId="0" applyFont="1" applyFill="1" applyBorder="1" applyAlignment="1">
      <alignment horizontal="center"/>
    </xf>
    <xf numFmtId="0" fontId="10" fillId="6" borderId="34" xfId="0" applyFont="1" applyFill="1" applyBorder="1" applyAlignment="1">
      <alignment horizontal="center"/>
    </xf>
    <xf numFmtId="0" fontId="9" fillId="5" borderId="61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0" fontId="9" fillId="5" borderId="49" xfId="0" applyFont="1" applyFill="1" applyBorder="1" applyAlignment="1">
      <alignment horizontal="center"/>
    </xf>
    <xf numFmtId="0" fontId="9" fillId="8" borderId="34" xfId="0" applyFont="1" applyFill="1" applyBorder="1" applyAlignment="1">
      <alignment horizontal="center"/>
    </xf>
    <xf numFmtId="0" fontId="9" fillId="8" borderId="41" xfId="0" applyFont="1" applyFill="1" applyBorder="1" applyAlignment="1">
      <alignment horizontal="center"/>
    </xf>
    <xf numFmtId="0" fontId="9" fillId="25" borderId="49" xfId="0" applyFont="1" applyFill="1" applyBorder="1" applyAlignment="1">
      <alignment horizontal="center"/>
    </xf>
    <xf numFmtId="0" fontId="9" fillId="7" borderId="50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36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9" fillId="8" borderId="36" xfId="0" applyFont="1" applyFill="1" applyBorder="1" applyAlignment="1">
      <alignment horizontal="center"/>
    </xf>
    <xf numFmtId="0" fontId="9" fillId="8" borderId="37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2" fillId="8" borderId="54" xfId="0" applyFont="1" applyFill="1" applyBorder="1" applyAlignment="1">
      <alignment horizontal="center"/>
    </xf>
    <xf numFmtId="0" fontId="2" fillId="8" borderId="51" xfId="0" applyFont="1" applyFill="1" applyBorder="1" applyAlignment="1">
      <alignment horizontal="center"/>
    </xf>
    <xf numFmtId="0" fontId="9" fillId="5" borderId="31" xfId="0" applyFont="1" applyFill="1" applyBorder="1" applyAlignment="1">
      <alignment horizontal="center"/>
    </xf>
    <xf numFmtId="0" fontId="9" fillId="5" borderId="63" xfId="0" applyFont="1" applyFill="1" applyBorder="1" applyAlignment="1">
      <alignment horizontal="center"/>
    </xf>
    <xf numFmtId="0" fontId="9" fillId="5" borderId="41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10" fillId="6" borderId="32" xfId="0" applyFont="1" applyFill="1" applyBorder="1" applyAlignment="1">
      <alignment horizontal="center"/>
    </xf>
    <xf numFmtId="0" fontId="10" fillId="6" borderId="41" xfId="0" applyFont="1" applyFill="1" applyBorder="1" applyAlignment="1">
      <alignment horizontal="center"/>
    </xf>
    <xf numFmtId="0" fontId="9" fillId="5" borderId="36" xfId="0" applyFont="1" applyFill="1" applyBorder="1" applyAlignment="1">
      <alignment horizontal="center"/>
    </xf>
    <xf numFmtId="0" fontId="9" fillId="7" borderId="51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2" fillId="5" borderId="54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51" xfId="0" applyFont="1" applyFill="1" applyBorder="1" applyAlignment="1">
      <alignment horizontal="center"/>
    </xf>
    <xf numFmtId="0" fontId="7" fillId="6" borderId="49" xfId="0" applyFont="1" applyFill="1" applyBorder="1" applyAlignment="1">
      <alignment horizontal="center"/>
    </xf>
    <xf numFmtId="0" fontId="9" fillId="8" borderId="4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DC16-C64D-AB4E-B168-A6A94F4C9D7F}">
  <sheetPr>
    <pageSetUpPr fitToPage="1"/>
  </sheetPr>
  <dimension ref="A1:CQ140"/>
  <sheetViews>
    <sheetView tabSelected="1" topLeftCell="A45" zoomScale="80" zoomScaleNormal="80" workbookViewId="0">
      <selection activeCell="E60" sqref="E60"/>
    </sheetView>
  </sheetViews>
  <sheetFormatPr defaultRowHeight="15" x14ac:dyDescent="0.2"/>
  <cols>
    <col min="4" max="4" width="12.77734375" bestFit="1" customWidth="1"/>
    <col min="21" max="21" width="10.625" customWidth="1"/>
    <col min="36" max="36" width="15.19921875" style="162" customWidth="1"/>
    <col min="37" max="37" width="15.46875" style="162" customWidth="1"/>
    <col min="38" max="38" width="13.5859375" style="50" bestFit="1" customWidth="1"/>
    <col min="39" max="39" width="8.609375" style="162"/>
    <col min="40" max="40" width="8.609375" style="25"/>
  </cols>
  <sheetData>
    <row r="1" spans="5:40" x14ac:dyDescent="0.2">
      <c r="E1" s="194">
        <v>45992</v>
      </c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6"/>
      <c r="AL1" s="47">
        <v>68</v>
      </c>
      <c r="AM1" s="23"/>
      <c r="AN1" s="24"/>
    </row>
    <row r="2" spans="5:40" x14ac:dyDescent="0.2">
      <c r="E2" s="111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L2" s="47"/>
      <c r="AM2" s="23"/>
      <c r="AN2" s="24"/>
    </row>
    <row r="3" spans="5:40" x14ac:dyDescent="0.2">
      <c r="E3" s="30">
        <v>1</v>
      </c>
      <c r="F3" s="31">
        <v>2</v>
      </c>
      <c r="G3" s="31">
        <v>3</v>
      </c>
      <c r="H3" s="31">
        <v>4</v>
      </c>
      <c r="I3" s="31">
        <v>5</v>
      </c>
      <c r="J3" s="10">
        <v>6</v>
      </c>
      <c r="K3" s="10">
        <v>7</v>
      </c>
      <c r="L3" s="31">
        <v>8</v>
      </c>
      <c r="M3" s="31">
        <v>9</v>
      </c>
      <c r="N3" s="31">
        <v>10</v>
      </c>
      <c r="O3" s="31">
        <v>11</v>
      </c>
      <c r="P3" s="31">
        <v>12</v>
      </c>
      <c r="Q3" s="10">
        <v>13</v>
      </c>
      <c r="R3" s="10">
        <v>14</v>
      </c>
      <c r="S3" s="31">
        <v>15</v>
      </c>
      <c r="T3" s="31">
        <v>16</v>
      </c>
      <c r="U3" s="31">
        <v>17</v>
      </c>
      <c r="V3" s="31">
        <v>18</v>
      </c>
      <c r="W3" s="31">
        <v>19</v>
      </c>
      <c r="X3" s="10">
        <v>20</v>
      </c>
      <c r="Y3" s="10">
        <v>21</v>
      </c>
      <c r="Z3" s="31">
        <v>22</v>
      </c>
      <c r="AA3" s="31">
        <v>23</v>
      </c>
      <c r="AB3" s="31">
        <v>24</v>
      </c>
      <c r="AC3" s="31">
        <v>25</v>
      </c>
      <c r="AD3" s="31">
        <v>26</v>
      </c>
      <c r="AE3" s="10">
        <v>27</v>
      </c>
      <c r="AF3" s="10">
        <v>28</v>
      </c>
      <c r="AG3" s="31">
        <v>29</v>
      </c>
      <c r="AH3" s="31">
        <v>30</v>
      </c>
      <c r="AI3" s="34">
        <v>31</v>
      </c>
      <c r="AL3" s="47"/>
      <c r="AM3" s="23"/>
      <c r="AN3" s="24"/>
    </row>
    <row r="4" spans="5:40" x14ac:dyDescent="0.2">
      <c r="E4" s="223" t="s">
        <v>5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5"/>
      <c r="AL4" s="47"/>
      <c r="AM4" s="23"/>
      <c r="AN4" s="24"/>
    </row>
    <row r="5" spans="5:40" ht="15.75" thickBot="1" x14ac:dyDescent="0.25">
      <c r="E5" s="30"/>
      <c r="F5" s="31"/>
      <c r="G5" s="31"/>
      <c r="H5" s="31"/>
      <c r="I5" s="31"/>
      <c r="J5" s="10"/>
      <c r="K5" s="10"/>
      <c r="L5" s="31"/>
      <c r="M5" s="31"/>
      <c r="N5" s="31"/>
      <c r="O5" s="31"/>
      <c r="P5" s="31"/>
      <c r="Q5" s="10"/>
      <c r="R5" s="10"/>
      <c r="S5" s="31"/>
      <c r="T5" s="31"/>
      <c r="U5" s="31"/>
      <c r="V5" s="31"/>
      <c r="W5" s="31"/>
      <c r="X5" s="10"/>
      <c r="Y5" s="10"/>
      <c r="Z5" s="31"/>
      <c r="AA5" s="31"/>
      <c r="AB5" s="31"/>
      <c r="AC5" s="31"/>
      <c r="AD5" s="31"/>
      <c r="AE5" s="10"/>
      <c r="AF5" s="10"/>
      <c r="AG5" s="31"/>
      <c r="AH5" s="31"/>
      <c r="AI5" s="34"/>
      <c r="AL5" s="47"/>
      <c r="AM5" s="23"/>
      <c r="AN5" s="24"/>
    </row>
    <row r="6" spans="5:40" ht="15.75" thickBot="1" x14ac:dyDescent="0.25">
      <c r="E6" s="32"/>
      <c r="F6" s="33"/>
      <c r="G6" s="33"/>
      <c r="H6" s="33"/>
      <c r="I6" s="33"/>
      <c r="J6" s="11"/>
      <c r="K6" s="11"/>
      <c r="L6" s="33"/>
      <c r="M6" s="33"/>
      <c r="N6" s="33"/>
      <c r="O6" s="33"/>
      <c r="P6" s="33"/>
      <c r="Q6" s="11"/>
      <c r="R6" s="11"/>
      <c r="S6" s="33"/>
      <c r="T6" s="33"/>
      <c r="U6" s="33"/>
      <c r="V6" s="33"/>
      <c r="W6" s="33"/>
      <c r="X6" s="11"/>
      <c r="Y6" s="11"/>
      <c r="Z6" s="33"/>
      <c r="AA6" s="33"/>
      <c r="AB6" s="33"/>
      <c r="AC6" s="33"/>
      <c r="AD6" s="33"/>
      <c r="AE6" s="11"/>
      <c r="AF6" s="11"/>
      <c r="AG6" s="33"/>
      <c r="AH6" s="33"/>
      <c r="AI6" s="35"/>
      <c r="AL6" s="47"/>
      <c r="AM6" s="23"/>
      <c r="AN6" s="29">
        <v>0</v>
      </c>
    </row>
    <row r="7" spans="5:40" ht="15.75" thickBot="1" x14ac:dyDescent="0.25">
      <c r="AL7" s="47"/>
      <c r="AM7" s="23"/>
      <c r="AN7" s="24"/>
    </row>
    <row r="8" spans="5:40" x14ac:dyDescent="0.2">
      <c r="E8" s="194">
        <v>46023</v>
      </c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6"/>
      <c r="AL8" s="47">
        <f>SUM(AL1+2.5-AN6)</f>
        <v>70.5</v>
      </c>
      <c r="AM8" s="23"/>
      <c r="AN8" s="24"/>
    </row>
    <row r="9" spans="5:40" x14ac:dyDescent="0.2">
      <c r="E9" s="111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3"/>
      <c r="AL9" s="47"/>
      <c r="AM9" s="23"/>
      <c r="AN9" s="24"/>
    </row>
    <row r="10" spans="5:40" x14ac:dyDescent="0.2">
      <c r="E10" s="30">
        <v>1</v>
      </c>
      <c r="F10" s="31">
        <v>2</v>
      </c>
      <c r="G10" s="38">
        <v>3</v>
      </c>
      <c r="H10" s="38">
        <v>4</v>
      </c>
      <c r="I10" s="31">
        <v>5</v>
      </c>
      <c r="J10" s="31">
        <v>6</v>
      </c>
      <c r="K10" s="31">
        <v>7</v>
      </c>
      <c r="L10" s="31">
        <v>8</v>
      </c>
      <c r="M10" s="31">
        <v>9</v>
      </c>
      <c r="N10" s="38">
        <v>10</v>
      </c>
      <c r="O10" s="38">
        <v>11</v>
      </c>
      <c r="P10" s="31">
        <v>12</v>
      </c>
      <c r="Q10" s="31">
        <v>13</v>
      </c>
      <c r="R10" s="31">
        <v>14</v>
      </c>
      <c r="S10" s="31">
        <v>15</v>
      </c>
      <c r="T10" s="31">
        <v>16</v>
      </c>
      <c r="U10" s="38">
        <v>17</v>
      </c>
      <c r="V10" s="38">
        <v>18</v>
      </c>
      <c r="W10" s="31">
        <v>19</v>
      </c>
      <c r="X10" s="31">
        <v>20</v>
      </c>
      <c r="Y10" s="31">
        <v>21</v>
      </c>
      <c r="Z10" s="31">
        <v>22</v>
      </c>
      <c r="AA10" s="31">
        <v>23</v>
      </c>
      <c r="AB10" s="38">
        <v>24</v>
      </c>
      <c r="AC10" s="38">
        <v>25</v>
      </c>
      <c r="AD10" s="31">
        <v>26</v>
      </c>
      <c r="AE10" s="31">
        <v>27</v>
      </c>
      <c r="AF10" s="31">
        <v>28</v>
      </c>
      <c r="AG10" s="31">
        <v>29</v>
      </c>
      <c r="AH10" s="31">
        <v>30</v>
      </c>
      <c r="AI10" s="40">
        <v>31</v>
      </c>
      <c r="AL10" s="47"/>
      <c r="AM10" s="23"/>
      <c r="AN10" s="24"/>
    </row>
    <row r="11" spans="5:40" x14ac:dyDescent="0.2">
      <c r="E11" s="223" t="s">
        <v>5</v>
      </c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6"/>
      <c r="AC11" s="227" t="s">
        <v>37</v>
      </c>
      <c r="AD11" s="228"/>
      <c r="AE11" s="228"/>
      <c r="AF11" s="228"/>
      <c r="AG11" s="228"/>
      <c r="AH11" s="228"/>
      <c r="AI11" s="229"/>
      <c r="AL11" s="47"/>
      <c r="AM11" s="23"/>
      <c r="AN11" s="24"/>
    </row>
    <row r="12" spans="5:40" ht="15.75" thickBot="1" x14ac:dyDescent="0.25">
      <c r="E12" s="30"/>
      <c r="F12" s="31"/>
      <c r="G12" s="38"/>
      <c r="H12" s="38"/>
      <c r="I12" s="31"/>
      <c r="J12" s="31"/>
      <c r="K12" s="31"/>
      <c r="L12" s="31"/>
      <c r="M12" s="31"/>
      <c r="N12" s="38"/>
      <c r="O12" s="38"/>
      <c r="P12" s="31"/>
      <c r="Q12" s="31"/>
      <c r="R12" s="31"/>
      <c r="S12" s="31"/>
      <c r="T12" s="31"/>
      <c r="U12" s="38"/>
      <c r="V12" s="38"/>
      <c r="W12" s="31"/>
      <c r="X12" s="31"/>
      <c r="Y12" s="31"/>
      <c r="Z12" s="31"/>
      <c r="AA12" s="33"/>
      <c r="AB12" s="39"/>
      <c r="AC12" s="39"/>
      <c r="AD12" s="33"/>
      <c r="AE12" s="33"/>
      <c r="AF12" s="33"/>
      <c r="AG12" s="33"/>
      <c r="AH12" s="33"/>
      <c r="AI12" s="41"/>
      <c r="AL12" s="47"/>
      <c r="AM12" s="23"/>
      <c r="AN12" s="24"/>
    </row>
    <row r="13" spans="5:40" ht="15.75" thickBot="1" x14ac:dyDescent="0.25">
      <c r="E13" s="32"/>
      <c r="F13" s="33"/>
      <c r="G13" s="39"/>
      <c r="H13" s="39"/>
      <c r="I13" s="33"/>
      <c r="J13" s="33"/>
      <c r="K13" s="33"/>
      <c r="L13" s="33"/>
      <c r="M13" s="33"/>
      <c r="N13" s="39"/>
      <c r="O13" s="39"/>
      <c r="P13" s="45"/>
      <c r="Q13" s="221" t="s">
        <v>8</v>
      </c>
      <c r="R13" s="222"/>
      <c r="S13" s="222"/>
      <c r="T13" s="46"/>
      <c r="U13" s="39"/>
      <c r="V13" s="39"/>
      <c r="W13" s="33"/>
      <c r="X13" s="33"/>
      <c r="Y13" s="33"/>
      <c r="Z13" s="33"/>
      <c r="AA13" s="33"/>
      <c r="AB13" s="39"/>
      <c r="AC13" s="39"/>
      <c r="AD13" s="33"/>
      <c r="AE13" s="33"/>
      <c r="AF13" s="33"/>
      <c r="AG13" s="33"/>
      <c r="AH13" s="33"/>
      <c r="AI13" s="41"/>
      <c r="AL13" s="47"/>
      <c r="AM13" s="23"/>
      <c r="AN13" s="29">
        <v>7</v>
      </c>
    </row>
    <row r="14" spans="5:40" ht="15.75" thickBot="1" x14ac:dyDescent="0.25">
      <c r="AL14" s="47"/>
      <c r="AM14" s="23"/>
      <c r="AN14" s="24"/>
    </row>
    <row r="15" spans="5:40" x14ac:dyDescent="0.2">
      <c r="E15" s="194">
        <v>46054</v>
      </c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6"/>
      <c r="AL15" s="47">
        <f>SUM(AL8+2.5-AN13)</f>
        <v>66</v>
      </c>
      <c r="AM15" s="23"/>
      <c r="AN15" s="24"/>
    </row>
    <row r="16" spans="5:40" x14ac:dyDescent="0.2">
      <c r="E16" s="42">
        <v>1</v>
      </c>
      <c r="F16" s="1">
        <v>2</v>
      </c>
      <c r="G16" s="1">
        <v>3</v>
      </c>
      <c r="H16" s="1">
        <v>4</v>
      </c>
      <c r="I16" s="31">
        <v>5</v>
      </c>
      <c r="J16" s="31">
        <v>6</v>
      </c>
      <c r="K16" s="38">
        <v>7</v>
      </c>
      <c r="L16" s="38">
        <v>8</v>
      </c>
      <c r="M16" s="31">
        <v>9</v>
      </c>
      <c r="N16" s="31">
        <v>10</v>
      </c>
      <c r="O16" s="31">
        <v>11</v>
      </c>
      <c r="P16" s="31">
        <v>12</v>
      </c>
      <c r="Q16" s="31">
        <v>13</v>
      </c>
      <c r="R16" s="38">
        <v>14</v>
      </c>
      <c r="S16" s="38">
        <v>15</v>
      </c>
      <c r="T16" s="31">
        <v>16</v>
      </c>
      <c r="U16" s="31">
        <v>17</v>
      </c>
      <c r="V16" s="31">
        <v>18</v>
      </c>
      <c r="W16" s="31">
        <v>19</v>
      </c>
      <c r="X16" s="31">
        <v>20</v>
      </c>
      <c r="Y16" s="38">
        <v>21</v>
      </c>
      <c r="Z16" s="38">
        <v>22</v>
      </c>
      <c r="AA16" s="31">
        <v>23</v>
      </c>
      <c r="AB16" s="31">
        <v>24</v>
      </c>
      <c r="AC16" s="31">
        <v>25</v>
      </c>
      <c r="AD16" s="31">
        <v>26</v>
      </c>
      <c r="AE16" s="31">
        <v>27</v>
      </c>
      <c r="AF16" s="38">
        <v>28</v>
      </c>
      <c r="AG16" s="38">
        <v>29</v>
      </c>
      <c r="AH16" s="1"/>
      <c r="AI16" s="5"/>
      <c r="AL16" s="47"/>
      <c r="AM16" s="23"/>
      <c r="AN16" s="24"/>
    </row>
    <row r="17" spans="5:42" x14ac:dyDescent="0.2">
      <c r="E17" s="18"/>
      <c r="F17" s="233" t="s">
        <v>5</v>
      </c>
      <c r="G17" s="224"/>
      <c r="H17" s="224"/>
      <c r="I17" s="224"/>
      <c r="J17" s="224"/>
      <c r="K17" s="224"/>
      <c r="L17" s="224"/>
      <c r="M17" s="224"/>
      <c r="N17" s="226"/>
      <c r="O17" s="234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6"/>
      <c r="AG17" s="38"/>
      <c r="AH17" s="1"/>
      <c r="AI17" s="5"/>
      <c r="AL17" s="47"/>
      <c r="AM17" s="23"/>
      <c r="AN17" s="24"/>
    </row>
    <row r="18" spans="5:42" ht="15.75" thickBot="1" x14ac:dyDescent="0.25">
      <c r="E18" s="18" t="s">
        <v>4</v>
      </c>
      <c r="F18" s="1"/>
      <c r="G18" s="1"/>
      <c r="H18" s="1"/>
      <c r="I18" s="31"/>
      <c r="J18" s="31"/>
      <c r="K18" s="38"/>
      <c r="L18" s="38"/>
      <c r="M18" s="31"/>
      <c r="N18" s="31"/>
      <c r="O18" s="31"/>
      <c r="P18" s="31"/>
      <c r="Q18" s="31"/>
      <c r="R18" s="38"/>
      <c r="S18" s="38"/>
      <c r="T18" s="31"/>
      <c r="U18" s="31"/>
      <c r="V18" s="31"/>
      <c r="W18" s="31"/>
      <c r="X18" s="31"/>
      <c r="Y18" s="38"/>
      <c r="Z18" s="237" t="s">
        <v>7</v>
      </c>
      <c r="AA18" s="238"/>
      <c r="AB18" s="238"/>
      <c r="AC18" s="238"/>
      <c r="AD18" s="238"/>
      <c r="AE18" s="238"/>
      <c r="AF18" s="238"/>
      <c r="AG18" s="110"/>
      <c r="AH18" s="1"/>
      <c r="AI18" s="5"/>
      <c r="AL18" s="47"/>
      <c r="AM18" s="23"/>
      <c r="AN18" s="24"/>
    </row>
    <row r="19" spans="5:42" ht="15.75" thickBot="1" x14ac:dyDescent="0.25">
      <c r="E19" s="19"/>
      <c r="F19" s="7"/>
      <c r="G19" s="7"/>
      <c r="H19" s="7"/>
      <c r="I19" s="33"/>
      <c r="J19" s="33"/>
      <c r="K19" s="39"/>
      <c r="L19" s="39"/>
      <c r="M19" s="22" t="s">
        <v>9</v>
      </c>
      <c r="N19" s="33"/>
      <c r="O19" s="33"/>
      <c r="P19" s="33"/>
      <c r="Q19" s="33"/>
      <c r="R19" s="39"/>
      <c r="S19" s="39"/>
      <c r="T19" s="33"/>
      <c r="U19" s="33"/>
      <c r="V19" s="33"/>
      <c r="W19" s="33"/>
      <c r="X19" s="33"/>
      <c r="Y19" s="39"/>
      <c r="Z19" s="39"/>
      <c r="AA19" s="33"/>
      <c r="AB19" s="33"/>
      <c r="AC19" s="33"/>
      <c r="AD19" s="33"/>
      <c r="AE19" s="33"/>
      <c r="AF19" s="39"/>
      <c r="AG19" s="39"/>
      <c r="AH19" s="7"/>
      <c r="AI19" s="8"/>
      <c r="AL19" s="47"/>
      <c r="AM19" s="23"/>
      <c r="AN19" s="29">
        <v>1</v>
      </c>
    </row>
    <row r="20" spans="5:42" ht="15.75" thickBot="1" x14ac:dyDescent="0.25">
      <c r="AL20" s="47"/>
      <c r="AM20" s="23"/>
      <c r="AN20" s="28"/>
    </row>
    <row r="21" spans="5:42" x14ac:dyDescent="0.2">
      <c r="E21" s="194">
        <v>46082</v>
      </c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6"/>
      <c r="AK21" s="162" t="s">
        <v>0</v>
      </c>
      <c r="AL21" s="47">
        <f>SUM(AL15+2.5-AN19)</f>
        <v>67.5</v>
      </c>
      <c r="AM21" s="23"/>
      <c r="AN21" s="24"/>
    </row>
    <row r="22" spans="5:42" x14ac:dyDescent="0.2">
      <c r="E22" s="42">
        <v>1</v>
      </c>
      <c r="F22" s="1">
        <v>2</v>
      </c>
      <c r="G22" s="31">
        <v>3</v>
      </c>
      <c r="H22" s="31">
        <v>4</v>
      </c>
      <c r="I22" s="31">
        <v>5</v>
      </c>
      <c r="J22" s="31">
        <v>6</v>
      </c>
      <c r="K22" s="38">
        <v>7</v>
      </c>
      <c r="L22" s="38">
        <v>8</v>
      </c>
      <c r="M22" s="31">
        <v>9</v>
      </c>
      <c r="N22" s="31">
        <v>10</v>
      </c>
      <c r="O22" s="31">
        <v>11</v>
      </c>
      <c r="P22" s="31">
        <v>12</v>
      </c>
      <c r="Q22" s="31">
        <v>13</v>
      </c>
      <c r="R22" s="38">
        <v>14</v>
      </c>
      <c r="S22" s="38">
        <v>15</v>
      </c>
      <c r="T22" s="31">
        <v>16</v>
      </c>
      <c r="U22" s="31">
        <v>17</v>
      </c>
      <c r="V22" s="31">
        <v>18</v>
      </c>
      <c r="W22" s="31">
        <v>19</v>
      </c>
      <c r="X22" s="31">
        <v>20</v>
      </c>
      <c r="Y22" s="38">
        <v>21</v>
      </c>
      <c r="Z22" s="38">
        <v>22</v>
      </c>
      <c r="AA22" s="31">
        <v>23</v>
      </c>
      <c r="AB22" s="31">
        <v>24</v>
      </c>
      <c r="AC22" s="31">
        <v>25</v>
      </c>
      <c r="AD22" s="31">
        <v>26</v>
      </c>
      <c r="AE22" s="31">
        <v>27</v>
      </c>
      <c r="AF22" s="38">
        <v>28</v>
      </c>
      <c r="AG22" s="38">
        <v>29</v>
      </c>
      <c r="AH22" s="31">
        <v>30</v>
      </c>
      <c r="AI22" s="34">
        <v>31</v>
      </c>
      <c r="AL22" s="47"/>
      <c r="AM22" s="23"/>
      <c r="AN22" s="24"/>
    </row>
    <row r="23" spans="5:42" x14ac:dyDescent="0.2">
      <c r="E23" s="223" t="s">
        <v>5</v>
      </c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5"/>
      <c r="AL23" s="47"/>
      <c r="AM23" s="23"/>
      <c r="AN23" s="24"/>
    </row>
    <row r="24" spans="5:42" ht="15.75" thickBot="1" x14ac:dyDescent="0.25">
      <c r="E24" s="237" t="s">
        <v>6</v>
      </c>
      <c r="F24" s="239"/>
      <c r="G24" s="239"/>
      <c r="H24" s="239"/>
      <c r="I24" s="239"/>
      <c r="J24" s="239"/>
      <c r="K24" s="239"/>
      <c r="L24" s="240"/>
      <c r="M24" s="241" t="s">
        <v>10</v>
      </c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3"/>
      <c r="Y24" s="38"/>
      <c r="Z24" s="38"/>
      <c r="AA24" s="237" t="s">
        <v>13</v>
      </c>
      <c r="AB24" s="239"/>
      <c r="AC24" s="239"/>
      <c r="AD24" s="237" t="s">
        <v>14</v>
      </c>
      <c r="AE24" s="239"/>
      <c r="AF24" s="239"/>
      <c r="AG24" s="39"/>
      <c r="AH24" s="31"/>
      <c r="AI24" s="34"/>
      <c r="AL24" s="47"/>
      <c r="AM24" s="23"/>
      <c r="AN24" s="24"/>
    </row>
    <row r="25" spans="5:42" ht="15.75" thickBot="1" x14ac:dyDescent="0.25">
      <c r="E25" s="43"/>
      <c r="F25" s="7"/>
      <c r="G25" s="33"/>
      <c r="H25" s="33"/>
      <c r="I25" s="33"/>
      <c r="J25" s="33"/>
      <c r="K25" s="39"/>
      <c r="L25" s="39"/>
      <c r="M25" s="33"/>
      <c r="N25" s="33"/>
      <c r="O25" s="33"/>
      <c r="P25" s="33"/>
      <c r="Q25" s="33"/>
      <c r="R25" s="39"/>
      <c r="S25" s="39"/>
      <c r="T25" s="33"/>
      <c r="U25" s="33"/>
      <c r="V25" s="33"/>
      <c r="W25" s="33"/>
      <c r="X25" s="33"/>
      <c r="Y25" s="39"/>
      <c r="Z25" s="39"/>
      <c r="AA25" s="33"/>
      <c r="AB25" s="33"/>
      <c r="AC25" s="33"/>
      <c r="AD25" s="33"/>
      <c r="AE25" s="33"/>
      <c r="AF25" s="39"/>
      <c r="AG25" s="39"/>
      <c r="AH25" s="33"/>
      <c r="AI25" s="35"/>
      <c r="AL25" s="47"/>
      <c r="AM25" s="23"/>
      <c r="AN25" s="29">
        <v>0</v>
      </c>
    </row>
    <row r="26" spans="5:42" ht="30" thickBot="1" x14ac:dyDescent="0.45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L26" s="47"/>
      <c r="AM26" s="23"/>
      <c r="AN26" s="28"/>
      <c r="AP26" s="126" t="s">
        <v>42</v>
      </c>
    </row>
    <row r="27" spans="5:42" ht="30" thickBot="1" x14ac:dyDescent="0.45">
      <c r="E27" s="190">
        <v>46113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2"/>
      <c r="AH27" s="192"/>
      <c r="AI27" s="193"/>
      <c r="AK27" s="162" t="s">
        <v>50</v>
      </c>
      <c r="AL27" s="47">
        <v>69</v>
      </c>
      <c r="AM27" s="23"/>
      <c r="AN27" s="24"/>
      <c r="AP27" s="126">
        <v>23</v>
      </c>
    </row>
    <row r="28" spans="5:42" ht="29.25" x14ac:dyDescent="0.4">
      <c r="E28" s="36">
        <v>1</v>
      </c>
      <c r="F28" s="37">
        <v>2</v>
      </c>
      <c r="G28" s="37">
        <v>3</v>
      </c>
      <c r="H28" s="44">
        <v>4</v>
      </c>
      <c r="I28" s="44">
        <v>5</v>
      </c>
      <c r="J28" s="37">
        <v>6</v>
      </c>
      <c r="K28" s="37">
        <v>7</v>
      </c>
      <c r="L28" s="37">
        <v>8</v>
      </c>
      <c r="M28" s="37">
        <v>9</v>
      </c>
      <c r="N28" s="37">
        <v>10</v>
      </c>
      <c r="O28" s="44">
        <v>11</v>
      </c>
      <c r="P28" s="44">
        <v>12</v>
      </c>
      <c r="Q28" s="37">
        <v>13</v>
      </c>
      <c r="R28" s="37">
        <v>14</v>
      </c>
      <c r="S28" s="37">
        <v>15</v>
      </c>
      <c r="T28" s="37">
        <v>16</v>
      </c>
      <c r="U28" s="37">
        <v>17</v>
      </c>
      <c r="V28" s="44">
        <v>18</v>
      </c>
      <c r="W28" s="44">
        <v>19</v>
      </c>
      <c r="X28" s="37">
        <v>20</v>
      </c>
      <c r="Y28" s="37">
        <v>21</v>
      </c>
      <c r="Z28" s="37">
        <v>22</v>
      </c>
      <c r="AA28" s="37">
        <v>23</v>
      </c>
      <c r="AB28" s="37">
        <v>24</v>
      </c>
      <c r="AC28" s="44">
        <v>25</v>
      </c>
      <c r="AD28" s="44">
        <v>26</v>
      </c>
      <c r="AE28" s="37">
        <v>27</v>
      </c>
      <c r="AF28" s="37">
        <v>28</v>
      </c>
      <c r="AG28" s="37">
        <v>29</v>
      </c>
      <c r="AH28" s="2">
        <v>30</v>
      </c>
      <c r="AI28" s="3"/>
      <c r="AL28" s="47"/>
      <c r="AM28" s="23"/>
      <c r="AN28" s="24"/>
      <c r="AP28" s="126"/>
    </row>
    <row r="29" spans="5:42" ht="29.25" x14ac:dyDescent="0.4">
      <c r="E29" s="230" t="s">
        <v>19</v>
      </c>
      <c r="F29" s="231"/>
      <c r="G29" s="232"/>
      <c r="H29" s="223" t="s">
        <v>5</v>
      </c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157" t="s">
        <v>87</v>
      </c>
      <c r="AI29" s="71"/>
      <c r="AL29" s="47"/>
      <c r="AM29" s="23"/>
      <c r="AN29" s="24"/>
      <c r="AP29" s="126"/>
    </row>
    <row r="30" spans="5:42" ht="30" thickBot="1" x14ac:dyDescent="0.45">
      <c r="E30" s="30"/>
      <c r="F30" s="31"/>
      <c r="G30" s="31"/>
      <c r="H30" s="38"/>
      <c r="I30" s="38"/>
      <c r="J30" s="31"/>
      <c r="K30" s="31"/>
      <c r="L30" s="31"/>
      <c r="M30" s="31"/>
      <c r="N30" s="31"/>
      <c r="O30" s="38"/>
      <c r="P30" s="38"/>
      <c r="Q30" s="31"/>
      <c r="R30" s="31"/>
      <c r="S30" s="31"/>
      <c r="T30" s="31"/>
      <c r="U30" s="31"/>
      <c r="V30" s="38"/>
      <c r="W30" s="38"/>
      <c r="X30" s="33"/>
      <c r="Y30" s="33"/>
      <c r="Z30" s="33"/>
      <c r="AA30" s="33"/>
      <c r="AB30" s="33"/>
      <c r="AC30" s="39"/>
      <c r="AD30" s="39"/>
      <c r="AE30" s="33"/>
      <c r="AF30" s="33"/>
      <c r="AG30" s="33"/>
      <c r="AH30" s="7"/>
      <c r="AI30" s="8"/>
      <c r="AL30" s="47"/>
      <c r="AM30" s="23"/>
      <c r="AN30" s="24"/>
      <c r="AP30" s="126"/>
    </row>
    <row r="31" spans="5:42" ht="30" thickBot="1" x14ac:dyDescent="0.45">
      <c r="E31" s="32"/>
      <c r="F31" s="33"/>
      <c r="G31" s="33"/>
      <c r="H31" s="39"/>
      <c r="I31" s="39"/>
      <c r="J31" s="33"/>
      <c r="K31" s="33"/>
      <c r="L31" s="33"/>
      <c r="M31" s="33"/>
      <c r="N31" s="33"/>
      <c r="O31" s="39"/>
      <c r="P31" s="39"/>
      <c r="Q31" s="33"/>
      <c r="R31" s="33"/>
      <c r="S31" s="33"/>
      <c r="T31" s="33"/>
      <c r="U31" s="33"/>
      <c r="V31" s="39"/>
      <c r="W31" s="39"/>
      <c r="X31" s="33"/>
      <c r="Y31" s="33"/>
      <c r="Z31" s="33"/>
      <c r="AA31" s="33"/>
      <c r="AB31" s="33"/>
      <c r="AC31" s="39"/>
      <c r="AD31" s="39"/>
      <c r="AE31" s="33"/>
      <c r="AF31" s="33"/>
      <c r="AG31" s="33"/>
      <c r="AH31" s="7"/>
      <c r="AI31" s="8"/>
      <c r="AL31" s="47"/>
      <c r="AM31" s="23"/>
      <c r="AN31" s="29">
        <v>4</v>
      </c>
      <c r="AP31" s="126">
        <f>SUM(AP27-AN31)</f>
        <v>19</v>
      </c>
    </row>
    <row r="32" spans="5:42" ht="30" thickBot="1" x14ac:dyDescent="0.45">
      <c r="AL32" s="47"/>
      <c r="AM32" s="23"/>
      <c r="AN32" s="24"/>
      <c r="AP32" s="126"/>
    </row>
    <row r="33" spans="2:42" ht="29.25" x14ac:dyDescent="0.4">
      <c r="E33" s="194">
        <v>46143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6"/>
      <c r="AK33" s="162" t="s">
        <v>51</v>
      </c>
      <c r="AL33" s="47">
        <f>SUM(AL27+2.5-AN31)</f>
        <v>67.5</v>
      </c>
      <c r="AM33" s="23"/>
      <c r="AN33" s="24"/>
      <c r="AP33" s="126"/>
    </row>
    <row r="34" spans="2:42" ht="29.25" x14ac:dyDescent="0.4">
      <c r="E34" s="4">
        <v>1</v>
      </c>
      <c r="F34" s="38">
        <v>2</v>
      </c>
      <c r="G34" s="38">
        <v>3</v>
      </c>
      <c r="H34" s="31">
        <v>4</v>
      </c>
      <c r="I34" s="31">
        <v>5</v>
      </c>
      <c r="J34" s="31">
        <v>6</v>
      </c>
      <c r="K34" s="31">
        <v>7</v>
      </c>
      <c r="L34" s="31">
        <v>8</v>
      </c>
      <c r="M34" s="38">
        <v>9</v>
      </c>
      <c r="N34" s="38">
        <v>10</v>
      </c>
      <c r="O34" s="31">
        <v>11</v>
      </c>
      <c r="P34" s="31">
        <v>12</v>
      </c>
      <c r="Q34" s="31">
        <v>13</v>
      </c>
      <c r="R34" s="31">
        <v>14</v>
      </c>
      <c r="S34" s="31">
        <v>15</v>
      </c>
      <c r="T34" s="38">
        <v>16</v>
      </c>
      <c r="U34" s="38">
        <v>17</v>
      </c>
      <c r="V34" s="31">
        <v>18</v>
      </c>
      <c r="W34" s="31">
        <v>19</v>
      </c>
      <c r="X34" s="31">
        <v>20</v>
      </c>
      <c r="Y34" s="31">
        <v>21</v>
      </c>
      <c r="Z34" s="31">
        <v>22</v>
      </c>
      <c r="AA34" s="38">
        <v>23</v>
      </c>
      <c r="AB34" s="38">
        <v>24</v>
      </c>
      <c r="AC34" s="31">
        <v>25</v>
      </c>
      <c r="AD34" s="31">
        <v>26</v>
      </c>
      <c r="AE34" s="31">
        <v>27</v>
      </c>
      <c r="AF34" s="31">
        <v>28</v>
      </c>
      <c r="AG34" s="31">
        <v>29</v>
      </c>
      <c r="AH34" s="38">
        <v>30</v>
      </c>
      <c r="AI34" s="40">
        <v>31</v>
      </c>
      <c r="AL34" s="47"/>
      <c r="AM34" s="23"/>
      <c r="AN34" s="24"/>
      <c r="AP34" s="126"/>
    </row>
    <row r="35" spans="2:42" ht="29.25" x14ac:dyDescent="0.4">
      <c r="E35" s="158" t="s">
        <v>87</v>
      </c>
      <c r="F35" s="223" t="s">
        <v>5</v>
      </c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5"/>
      <c r="AL35" s="47"/>
      <c r="AM35" s="23"/>
      <c r="AN35" s="24"/>
      <c r="AP35" s="126"/>
    </row>
    <row r="36" spans="2:42" ht="30" thickBot="1" x14ac:dyDescent="0.45">
      <c r="E36" s="4"/>
      <c r="F36" s="38"/>
      <c r="G36" s="38"/>
      <c r="H36" s="31"/>
      <c r="I36" s="31"/>
      <c r="J36" s="31"/>
      <c r="K36" s="31"/>
      <c r="L36" s="31"/>
      <c r="M36" s="38"/>
      <c r="N36" s="38"/>
      <c r="O36" s="31"/>
      <c r="P36" s="31"/>
      <c r="Q36" s="31"/>
      <c r="R36" s="31"/>
      <c r="S36" s="31"/>
      <c r="T36" s="38"/>
      <c r="U36" s="38"/>
      <c r="V36" s="31"/>
      <c r="W36" s="31"/>
      <c r="X36" s="31"/>
      <c r="Y36" s="31"/>
      <c r="Z36" s="31"/>
      <c r="AA36" s="38"/>
      <c r="AB36" s="38"/>
      <c r="AC36" s="31"/>
      <c r="AD36" s="31"/>
      <c r="AE36" s="31"/>
      <c r="AF36" s="31"/>
      <c r="AG36" s="31"/>
      <c r="AH36" s="38"/>
      <c r="AI36" s="40"/>
      <c r="AL36" s="47"/>
      <c r="AM36" s="23"/>
      <c r="AN36" s="24"/>
      <c r="AP36" s="126"/>
    </row>
    <row r="37" spans="2:42" ht="30" thickBot="1" x14ac:dyDescent="0.45">
      <c r="E37" s="6"/>
      <c r="F37" s="39"/>
      <c r="G37" s="39"/>
      <c r="H37" s="33"/>
      <c r="I37" s="33"/>
      <c r="J37" s="33"/>
      <c r="K37" s="33"/>
      <c r="L37" s="33"/>
      <c r="M37" s="39"/>
      <c r="N37" s="39"/>
      <c r="O37" s="33"/>
      <c r="P37" s="33"/>
      <c r="Q37" s="33"/>
      <c r="R37" s="33"/>
      <c r="S37" s="33"/>
      <c r="T37" s="39"/>
      <c r="U37" s="39"/>
      <c r="V37" s="33"/>
      <c r="W37" s="33"/>
      <c r="X37" s="33"/>
      <c r="Y37" s="33"/>
      <c r="Z37" s="33"/>
      <c r="AA37" s="39"/>
      <c r="AB37" s="39"/>
      <c r="AC37" s="33"/>
      <c r="AD37" s="33"/>
      <c r="AE37" s="33"/>
      <c r="AF37" s="33"/>
      <c r="AG37" s="33"/>
      <c r="AH37" s="39"/>
      <c r="AI37" s="41"/>
      <c r="AL37" s="47"/>
      <c r="AM37" s="23"/>
      <c r="AN37" s="29">
        <v>1</v>
      </c>
      <c r="AP37" s="126">
        <f>SUM(AP31-AN37)</f>
        <v>18</v>
      </c>
    </row>
    <row r="38" spans="2:42" ht="30" thickBot="1" x14ac:dyDescent="0.4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L38" s="47"/>
      <c r="AM38" s="23"/>
      <c r="AN38" s="24"/>
      <c r="AP38" s="126"/>
    </row>
    <row r="39" spans="2:42" ht="30" thickBot="1" x14ac:dyDescent="0.45">
      <c r="E39" s="190">
        <v>46174</v>
      </c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2"/>
      <c r="AH39" s="192"/>
      <c r="AI39" s="193"/>
      <c r="AK39" s="162" t="s">
        <v>52</v>
      </c>
      <c r="AL39" s="47">
        <f>SUM(AL33+2.5-AN37)</f>
        <v>69</v>
      </c>
      <c r="AM39" s="23"/>
      <c r="AN39" s="24"/>
      <c r="AP39" s="126"/>
    </row>
    <row r="40" spans="2:42" ht="29.25" x14ac:dyDescent="0.4">
      <c r="E40" s="36">
        <v>1</v>
      </c>
      <c r="F40" s="37">
        <v>2</v>
      </c>
      <c r="G40" s="37">
        <v>3</v>
      </c>
      <c r="H40" s="37">
        <v>4</v>
      </c>
      <c r="I40" s="37">
        <v>5</v>
      </c>
      <c r="J40" s="44">
        <v>6</v>
      </c>
      <c r="K40" s="44">
        <v>7</v>
      </c>
      <c r="L40" s="37">
        <v>8</v>
      </c>
      <c r="M40" s="37">
        <v>9</v>
      </c>
      <c r="N40" s="37">
        <v>10</v>
      </c>
      <c r="O40" s="37">
        <v>11</v>
      </c>
      <c r="P40" s="37">
        <v>12</v>
      </c>
      <c r="Q40" s="44">
        <v>13</v>
      </c>
      <c r="R40" s="44">
        <v>14</v>
      </c>
      <c r="S40" s="37">
        <v>15</v>
      </c>
      <c r="T40" s="37">
        <v>16</v>
      </c>
      <c r="U40" s="37">
        <v>17</v>
      </c>
      <c r="V40" s="37">
        <v>18</v>
      </c>
      <c r="W40" s="37">
        <v>19</v>
      </c>
      <c r="X40" s="44">
        <v>20</v>
      </c>
      <c r="Y40" s="44">
        <v>21</v>
      </c>
      <c r="Z40" s="37">
        <v>22</v>
      </c>
      <c r="AA40" s="37">
        <v>23</v>
      </c>
      <c r="AB40" s="37">
        <v>24</v>
      </c>
      <c r="AC40" s="37">
        <v>25</v>
      </c>
      <c r="AD40" s="37">
        <v>26</v>
      </c>
      <c r="AE40" s="44">
        <v>27</v>
      </c>
      <c r="AF40" s="44">
        <v>28</v>
      </c>
      <c r="AG40" s="37">
        <v>29</v>
      </c>
      <c r="AH40" s="2">
        <v>30</v>
      </c>
      <c r="AI40" s="3"/>
      <c r="AL40" s="47"/>
      <c r="AM40" s="23"/>
      <c r="AN40" s="24"/>
      <c r="AP40" s="126"/>
    </row>
    <row r="41" spans="2:42" ht="29.25" x14ac:dyDescent="0.4">
      <c r="E41" s="223" t="s">
        <v>5</v>
      </c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6"/>
      <c r="AI41" s="5"/>
      <c r="AL41" s="47"/>
      <c r="AM41" s="23"/>
      <c r="AN41" s="24"/>
      <c r="AP41" s="126"/>
    </row>
    <row r="42" spans="2:42" ht="30" thickBot="1" x14ac:dyDescent="0.45">
      <c r="E42" s="30"/>
      <c r="F42" s="31"/>
      <c r="G42" s="31"/>
      <c r="H42" s="31"/>
      <c r="I42" s="31"/>
      <c r="J42" s="38"/>
      <c r="K42" s="38"/>
      <c r="L42" s="31"/>
      <c r="M42" s="31"/>
      <c r="N42" s="87" t="str">
        <f>(E140)</f>
        <v>VA Individual Appointments</v>
      </c>
      <c r="O42" s="31"/>
      <c r="P42" s="31"/>
      <c r="Q42" s="38"/>
      <c r="R42" s="38"/>
      <c r="S42" s="31"/>
      <c r="T42" s="31"/>
      <c r="U42" s="31"/>
      <c r="V42" s="31"/>
      <c r="W42" s="31"/>
      <c r="X42" s="38"/>
      <c r="Y42" s="38"/>
      <c r="Z42" s="31"/>
      <c r="AA42" s="31"/>
      <c r="AB42" s="31"/>
      <c r="AC42" s="31"/>
      <c r="AD42" s="31"/>
      <c r="AE42" s="38"/>
      <c r="AF42" s="38"/>
      <c r="AG42" s="31"/>
      <c r="AH42" s="1"/>
      <c r="AI42" s="5"/>
      <c r="AL42" s="47"/>
      <c r="AM42" s="23"/>
      <c r="AN42" s="24"/>
      <c r="AP42" s="126"/>
    </row>
    <row r="43" spans="2:42" ht="30" thickBot="1" x14ac:dyDescent="0.45">
      <c r="E43" s="32"/>
      <c r="F43" s="33"/>
      <c r="G43" s="33"/>
      <c r="H43" s="33"/>
      <c r="I43" s="33"/>
      <c r="J43" s="39"/>
      <c r="K43" s="39"/>
      <c r="L43" s="33"/>
      <c r="M43" s="33"/>
      <c r="N43" s="33"/>
      <c r="O43" s="33"/>
      <c r="P43" s="33"/>
      <c r="Q43" s="39"/>
      <c r="R43" s="39"/>
      <c r="S43" s="33"/>
      <c r="T43" s="33"/>
      <c r="U43" s="33"/>
      <c r="V43" s="33"/>
      <c r="W43" s="143" t="s">
        <v>91</v>
      </c>
      <c r="X43" s="149" t="s">
        <v>44</v>
      </c>
      <c r="Y43" s="39"/>
      <c r="Z43" s="33"/>
      <c r="AA43" s="33"/>
      <c r="AB43" s="33"/>
      <c r="AC43" s="33"/>
      <c r="AD43" s="33"/>
      <c r="AE43" s="39"/>
      <c r="AF43" s="39"/>
      <c r="AG43" s="33"/>
      <c r="AH43" s="7"/>
      <c r="AI43" s="8"/>
      <c r="AL43" s="47"/>
      <c r="AM43" s="23"/>
      <c r="AN43" s="29">
        <v>0</v>
      </c>
      <c r="AP43" s="126">
        <f>SUM(AP37-AN43)</f>
        <v>18</v>
      </c>
    </row>
    <row r="44" spans="2:42" ht="30" thickBot="1" x14ac:dyDescent="0.45"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6"/>
      <c r="AK44" s="106"/>
      <c r="AL44" s="107"/>
      <c r="AM44" s="108"/>
      <c r="AN44" s="109"/>
      <c r="AP44" s="126"/>
    </row>
    <row r="45" spans="2:42" ht="29.25" x14ac:dyDescent="0.4">
      <c r="B45" s="244" t="s">
        <v>41</v>
      </c>
      <c r="C45" s="244"/>
      <c r="D45" s="181"/>
      <c r="E45" s="194">
        <v>46204</v>
      </c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6"/>
      <c r="AK45" s="162" t="s">
        <v>53</v>
      </c>
      <c r="AL45" s="47">
        <f>SUM(AL39+2.5-AN43)</f>
        <v>71.5</v>
      </c>
      <c r="AM45" s="23"/>
      <c r="AN45" s="24"/>
      <c r="AP45" s="126"/>
    </row>
    <row r="46" spans="2:42" ht="29.25" x14ac:dyDescent="0.4">
      <c r="B46" s="244"/>
      <c r="C46" s="244"/>
      <c r="D46" s="181"/>
      <c r="E46" s="4">
        <v>1</v>
      </c>
      <c r="F46" s="1">
        <v>2</v>
      </c>
      <c r="G46" s="1">
        <v>3</v>
      </c>
      <c r="H46" s="10">
        <v>4</v>
      </c>
      <c r="I46" s="10">
        <v>5</v>
      </c>
      <c r="J46" s="1">
        <v>6</v>
      </c>
      <c r="K46" s="1">
        <v>7</v>
      </c>
      <c r="L46" s="1">
        <v>8</v>
      </c>
      <c r="M46" s="1">
        <v>9</v>
      </c>
      <c r="N46" s="1">
        <v>10</v>
      </c>
      <c r="O46" s="10">
        <v>11</v>
      </c>
      <c r="P46" s="10">
        <v>12</v>
      </c>
      <c r="Q46" s="1">
        <v>13</v>
      </c>
      <c r="R46" s="1">
        <v>14</v>
      </c>
      <c r="S46" s="1">
        <v>15</v>
      </c>
      <c r="T46" s="1">
        <v>16</v>
      </c>
      <c r="U46" s="1">
        <v>17</v>
      </c>
      <c r="V46" s="10">
        <v>18</v>
      </c>
      <c r="W46" s="10">
        <v>19</v>
      </c>
      <c r="X46" s="1">
        <v>20</v>
      </c>
      <c r="Y46" s="1">
        <v>21</v>
      </c>
      <c r="Z46" s="1">
        <v>22</v>
      </c>
      <c r="AA46" s="1">
        <v>23</v>
      </c>
      <c r="AB46" s="1">
        <v>24</v>
      </c>
      <c r="AC46" s="10">
        <v>25</v>
      </c>
      <c r="AD46" s="10">
        <v>26</v>
      </c>
      <c r="AE46" s="1">
        <v>27</v>
      </c>
      <c r="AF46" s="1">
        <v>28</v>
      </c>
      <c r="AG46" s="1">
        <v>29</v>
      </c>
      <c r="AH46" s="1">
        <v>30</v>
      </c>
      <c r="AI46" s="5">
        <v>31</v>
      </c>
      <c r="AL46" s="47"/>
      <c r="AM46" s="23"/>
      <c r="AN46" s="24"/>
      <c r="AP46" s="126"/>
    </row>
    <row r="47" spans="2:42" ht="29.25" x14ac:dyDescent="0.4">
      <c r="B47" s="244"/>
      <c r="C47" s="244"/>
      <c r="D47" s="181"/>
      <c r="E47" s="223" t="s">
        <v>5</v>
      </c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31" t="s">
        <v>181</v>
      </c>
      <c r="W47" s="231"/>
      <c r="X47" s="231"/>
      <c r="Y47" s="231"/>
      <c r="Z47" s="231"/>
      <c r="AA47" s="231"/>
      <c r="AB47" s="231"/>
      <c r="AC47" s="231"/>
      <c r="AD47" s="10"/>
      <c r="AE47" s="233" t="s">
        <v>35</v>
      </c>
      <c r="AF47" s="224"/>
      <c r="AG47" s="226"/>
      <c r="AH47" s="259" t="str">
        <f>(E136)</f>
        <v>Career &amp; Credential Exploration 2 Day Seminar</v>
      </c>
      <c r="AI47" s="260"/>
      <c r="AL47" s="47"/>
      <c r="AM47" s="23"/>
      <c r="AN47" s="24"/>
      <c r="AP47" s="126"/>
    </row>
    <row r="48" spans="2:42" ht="30" thickBot="1" x14ac:dyDescent="0.45">
      <c r="B48" s="244"/>
      <c r="C48" s="244"/>
      <c r="D48" s="181"/>
      <c r="E48" s="4"/>
      <c r="F48" s="1"/>
      <c r="G48" s="1"/>
      <c r="H48" s="10"/>
      <c r="I48" s="10"/>
      <c r="J48" s="1"/>
      <c r="K48" s="90" t="str">
        <f>(E133)</f>
        <v>Pre Separation Brief</v>
      </c>
      <c r="L48" s="1"/>
      <c r="M48" s="1"/>
      <c r="N48" s="1"/>
      <c r="O48" s="10"/>
      <c r="P48" s="10"/>
      <c r="Q48" s="245" t="str">
        <f>(E134)</f>
        <v>Three-Day Transition Workshop</v>
      </c>
      <c r="R48" s="246"/>
      <c r="S48" s="247"/>
      <c r="T48" s="248" t="str">
        <f>(E137)</f>
        <v>Employment 2 Day Seminar</v>
      </c>
      <c r="U48" s="249"/>
      <c r="V48" s="10"/>
      <c r="W48" s="10"/>
      <c r="X48" s="250" t="str">
        <f>(E135)</f>
        <v>Entrepreneurship 2-Day Seminar</v>
      </c>
      <c r="Y48" s="251"/>
      <c r="Z48" s="1"/>
      <c r="AA48" s="1"/>
      <c r="AB48" s="1"/>
      <c r="AC48" s="10"/>
      <c r="AD48" s="10"/>
      <c r="AE48" s="1"/>
      <c r="AF48" s="90" t="str">
        <f>(E133)</f>
        <v>Pre Separation Brief</v>
      </c>
      <c r="AG48" s="1"/>
      <c r="AH48" s="7"/>
      <c r="AI48" s="7"/>
      <c r="AL48" s="47"/>
      <c r="AM48" s="23"/>
      <c r="AN48" s="24"/>
      <c r="AP48" s="126"/>
    </row>
    <row r="49" spans="2:95" ht="30" thickBot="1" x14ac:dyDescent="0.45">
      <c r="B49" s="244"/>
      <c r="C49" s="244"/>
      <c r="D49" s="181"/>
      <c r="E49" s="6"/>
      <c r="F49" s="7"/>
      <c r="G49" s="22" t="s">
        <v>3</v>
      </c>
      <c r="H49" s="11"/>
      <c r="I49" s="11"/>
      <c r="J49" s="7"/>
      <c r="K49" s="7"/>
      <c r="L49" s="7"/>
      <c r="M49" s="7"/>
      <c r="N49" s="7"/>
      <c r="O49" s="11"/>
      <c r="P49" s="11"/>
      <c r="Q49" s="7"/>
      <c r="R49" s="7"/>
      <c r="S49" s="87" t="str">
        <f>(E140)</f>
        <v>VA Individual Appointments</v>
      </c>
      <c r="T49" s="76"/>
      <c r="U49" s="77"/>
      <c r="V49" s="11"/>
      <c r="W49" s="11"/>
      <c r="X49" s="7"/>
      <c r="Y49" s="7"/>
      <c r="Z49" s="7"/>
      <c r="AA49" s="7"/>
      <c r="AB49" s="7"/>
      <c r="AC49" s="11"/>
      <c r="AD49" s="11"/>
      <c r="AE49" s="7"/>
      <c r="AF49" s="7"/>
      <c r="AG49" s="7"/>
      <c r="AH49" s="7"/>
      <c r="AI49" s="7"/>
      <c r="AL49" s="47"/>
      <c r="AM49" s="23"/>
      <c r="AN49" s="29">
        <v>8</v>
      </c>
      <c r="AP49" s="126">
        <f>SUM(AP43-AN49)</f>
        <v>10</v>
      </c>
    </row>
    <row r="50" spans="2:95" ht="30" thickBot="1" x14ac:dyDescent="0.45">
      <c r="B50" s="244"/>
      <c r="C50" s="244"/>
      <c r="D50" s="181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7"/>
      <c r="AP50" s="126"/>
    </row>
    <row r="51" spans="2:95" ht="29.25" x14ac:dyDescent="0.4">
      <c r="B51" s="244"/>
      <c r="C51" s="244"/>
      <c r="D51" s="181"/>
      <c r="E51" s="194">
        <v>46235</v>
      </c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6"/>
      <c r="AK51" s="162" t="s">
        <v>54</v>
      </c>
      <c r="AL51" s="47">
        <f>SUM(AL45+2.5-AN49)</f>
        <v>66</v>
      </c>
      <c r="AM51" s="23"/>
      <c r="AN51" s="24"/>
      <c r="AP51" s="126"/>
    </row>
    <row r="52" spans="2:95" ht="30" thickBot="1" x14ac:dyDescent="0.45">
      <c r="B52" s="244"/>
      <c r="C52" s="244"/>
      <c r="D52" s="181"/>
      <c r="E52" s="12">
        <v>1</v>
      </c>
      <c r="F52" s="10">
        <v>2</v>
      </c>
      <c r="G52" s="1">
        <v>3</v>
      </c>
      <c r="H52" s="1">
        <v>4</v>
      </c>
      <c r="I52" s="1">
        <v>5</v>
      </c>
      <c r="J52" s="1">
        <v>6</v>
      </c>
      <c r="K52" s="1">
        <v>7</v>
      </c>
      <c r="L52" s="10">
        <v>8</v>
      </c>
      <c r="M52" s="10">
        <v>9</v>
      </c>
      <c r="N52" s="1">
        <v>10</v>
      </c>
      <c r="O52" s="1">
        <v>11</v>
      </c>
      <c r="P52" s="1">
        <v>12</v>
      </c>
      <c r="Q52" s="1">
        <v>13</v>
      </c>
      <c r="R52" s="1">
        <v>14</v>
      </c>
      <c r="S52" s="10">
        <v>15</v>
      </c>
      <c r="T52" s="10">
        <v>16</v>
      </c>
      <c r="U52" s="1">
        <v>17</v>
      </c>
      <c r="V52" s="1">
        <v>18</v>
      </c>
      <c r="W52" s="1">
        <v>19</v>
      </c>
      <c r="X52" s="1">
        <v>20</v>
      </c>
      <c r="Y52" s="1">
        <v>21</v>
      </c>
      <c r="Z52" s="10">
        <v>22</v>
      </c>
      <c r="AA52" s="10">
        <v>23</v>
      </c>
      <c r="AB52" s="1">
        <v>24</v>
      </c>
      <c r="AC52" s="1">
        <v>25</v>
      </c>
      <c r="AD52" s="1">
        <v>26</v>
      </c>
      <c r="AE52" s="1">
        <v>27</v>
      </c>
      <c r="AF52" s="1">
        <v>28</v>
      </c>
      <c r="AG52" s="10">
        <v>29</v>
      </c>
      <c r="AH52" s="10">
        <v>30</v>
      </c>
      <c r="AI52" s="5">
        <v>31</v>
      </c>
      <c r="AJ52" s="56"/>
      <c r="AK52" s="56"/>
      <c r="AL52" s="47"/>
      <c r="AM52" s="23"/>
      <c r="AN52" s="24"/>
      <c r="AP52" s="126"/>
    </row>
    <row r="53" spans="2:95" ht="30" thickBot="1" x14ac:dyDescent="0.45">
      <c r="B53" s="244"/>
      <c r="C53" s="244"/>
      <c r="D53" s="181"/>
      <c r="E53" s="12"/>
      <c r="F53" s="10"/>
      <c r="G53" s="200" t="s">
        <v>31</v>
      </c>
      <c r="H53" s="201"/>
      <c r="I53" s="201"/>
      <c r="J53" s="201"/>
      <c r="K53" s="201"/>
      <c r="L53" s="74"/>
      <c r="M53" s="10"/>
      <c r="N53" s="261" t="s">
        <v>35</v>
      </c>
      <c r="O53" s="201"/>
      <c r="P53" s="202"/>
      <c r="Q53" s="253" t="str">
        <f>(E138)</f>
        <v>Education  2 Day Seminar</v>
      </c>
      <c r="R53" s="254"/>
      <c r="S53" s="10"/>
      <c r="T53" s="75"/>
      <c r="U53" s="255" t="str">
        <f>(E134)</f>
        <v>Three-Day Transition Workshop</v>
      </c>
      <c r="V53" s="256"/>
      <c r="W53" s="256"/>
      <c r="X53" s="257" t="str">
        <f>(E137)</f>
        <v>Employment 2 Day Seminar</v>
      </c>
      <c r="Y53" s="258"/>
      <c r="Z53" s="74"/>
      <c r="AA53" s="10"/>
      <c r="AB53" s="200" t="s">
        <v>207</v>
      </c>
      <c r="AC53" s="201"/>
      <c r="AD53" s="201"/>
      <c r="AE53" s="201"/>
      <c r="AF53" s="201"/>
      <c r="AG53" s="10"/>
      <c r="AH53" s="10"/>
      <c r="AI53" s="188"/>
      <c r="AJ53" s="162">
        <v>20</v>
      </c>
      <c r="AL53" s="47"/>
      <c r="AM53" s="23"/>
      <c r="AN53" s="24"/>
      <c r="AP53" s="126"/>
    </row>
    <row r="54" spans="2:95" ht="30" thickBot="1" x14ac:dyDescent="0.45">
      <c r="B54" s="244"/>
      <c r="C54" s="244"/>
      <c r="D54" s="181"/>
      <c r="E54" s="12"/>
      <c r="F54" s="10"/>
      <c r="G54" s="1"/>
      <c r="H54" s="1"/>
      <c r="I54" s="1"/>
      <c r="J54" s="1"/>
      <c r="K54" s="1"/>
      <c r="L54" s="10"/>
      <c r="M54" s="10"/>
      <c r="N54" s="1"/>
      <c r="O54" s="1"/>
      <c r="P54" s="1"/>
      <c r="Q54" s="1"/>
      <c r="R54" s="1"/>
      <c r="S54" s="10"/>
      <c r="T54" s="75"/>
      <c r="U54" s="1"/>
      <c r="V54" s="1"/>
      <c r="W54" s="1"/>
      <c r="X54" s="1"/>
      <c r="Y54" s="1"/>
      <c r="Z54" s="74"/>
      <c r="AA54" s="10"/>
      <c r="AB54" s="1"/>
      <c r="AC54" s="1"/>
      <c r="AD54" s="1"/>
      <c r="AE54" s="1"/>
      <c r="AF54" s="1"/>
      <c r="AG54" s="10"/>
      <c r="AH54" s="10"/>
      <c r="AI54" s="5"/>
      <c r="AL54" s="47"/>
      <c r="AM54" s="23"/>
      <c r="AN54" s="24"/>
      <c r="AP54" s="126"/>
    </row>
    <row r="55" spans="2:95" ht="30" thickBot="1" x14ac:dyDescent="0.45">
      <c r="B55" s="244"/>
      <c r="C55" s="244"/>
      <c r="D55" s="181"/>
      <c r="E55" s="13"/>
      <c r="F55" s="11"/>
      <c r="G55" s="7"/>
      <c r="H55" s="7"/>
      <c r="I55" s="7"/>
      <c r="J55" s="7"/>
      <c r="K55" s="7"/>
      <c r="L55" s="11"/>
      <c r="M55" s="11"/>
      <c r="N55" s="7"/>
      <c r="O55" s="7"/>
      <c r="P55" s="7"/>
      <c r="Q55" s="7"/>
      <c r="R55" s="7"/>
      <c r="S55" s="11"/>
      <c r="T55" s="11"/>
      <c r="U55" s="73"/>
      <c r="V55" s="73"/>
      <c r="W55" s="87" t="str">
        <f>(E140)</f>
        <v>VA Individual Appointments</v>
      </c>
      <c r="X55" s="73"/>
      <c r="Y55" s="73"/>
      <c r="Z55" s="11"/>
      <c r="AA55" s="11"/>
      <c r="AB55" s="7"/>
      <c r="AC55" s="7"/>
      <c r="AD55" s="7"/>
      <c r="AE55" s="7"/>
      <c r="AF55" s="7"/>
      <c r="AG55" s="11"/>
      <c r="AH55" s="11"/>
      <c r="AI55" s="8"/>
      <c r="AL55" s="47"/>
      <c r="AM55" s="23"/>
      <c r="AN55" s="29">
        <v>1</v>
      </c>
      <c r="AP55" s="126">
        <f>SUM(AP49-AN55)</f>
        <v>9</v>
      </c>
    </row>
    <row r="56" spans="2:95" ht="30" thickBot="1" x14ac:dyDescent="0.45">
      <c r="B56" s="244"/>
      <c r="C56" s="244"/>
      <c r="D56" s="181"/>
      <c r="AL56" s="47"/>
      <c r="AM56" s="23"/>
      <c r="AN56" s="24"/>
      <c r="AP56" s="126"/>
    </row>
    <row r="57" spans="2:95" ht="29.25" x14ac:dyDescent="0.4">
      <c r="B57" s="244"/>
      <c r="C57" s="244"/>
      <c r="D57" s="181"/>
      <c r="E57" s="194">
        <v>46266</v>
      </c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6"/>
      <c r="AK57" s="162" t="s">
        <v>55</v>
      </c>
      <c r="AL57" s="47">
        <f>SUM(AL51+2.5-AN55)</f>
        <v>67.5</v>
      </c>
      <c r="AM57" s="23"/>
      <c r="AN57" s="24"/>
      <c r="AP57" s="126"/>
    </row>
    <row r="58" spans="2:95" ht="29.25" x14ac:dyDescent="0.4">
      <c r="B58" s="244"/>
      <c r="C58" s="244"/>
      <c r="D58" s="181"/>
      <c r="E58" s="4">
        <v>1</v>
      </c>
      <c r="F58" s="1">
        <v>2</v>
      </c>
      <c r="G58" s="1">
        <v>3</v>
      </c>
      <c r="H58" s="1">
        <v>4</v>
      </c>
      <c r="I58" s="10">
        <v>5</v>
      </c>
      <c r="J58" s="10">
        <v>6</v>
      </c>
      <c r="K58" s="1">
        <v>7</v>
      </c>
      <c r="L58" s="1">
        <v>8</v>
      </c>
      <c r="M58" s="1">
        <v>9</v>
      </c>
      <c r="N58" s="1">
        <v>10</v>
      </c>
      <c r="O58" s="1">
        <v>11</v>
      </c>
      <c r="P58" s="10">
        <v>12</v>
      </c>
      <c r="Q58" s="10">
        <v>13</v>
      </c>
      <c r="R58" s="1">
        <v>14</v>
      </c>
      <c r="S58" s="1">
        <v>15</v>
      </c>
      <c r="T58" s="1">
        <v>16</v>
      </c>
      <c r="U58" s="1">
        <v>17</v>
      </c>
      <c r="V58" s="1">
        <v>18</v>
      </c>
      <c r="W58" s="10">
        <v>19</v>
      </c>
      <c r="X58" s="10">
        <v>20</v>
      </c>
      <c r="Y58" s="1">
        <v>21</v>
      </c>
      <c r="Z58" s="1">
        <v>22</v>
      </c>
      <c r="AA58" s="1">
        <v>23</v>
      </c>
      <c r="AB58" s="1">
        <v>24</v>
      </c>
      <c r="AC58" s="1">
        <v>25</v>
      </c>
      <c r="AD58" s="10">
        <v>26</v>
      </c>
      <c r="AE58" s="10">
        <v>27</v>
      </c>
      <c r="AF58" s="1">
        <v>28</v>
      </c>
      <c r="AG58" s="1">
        <v>29</v>
      </c>
      <c r="AH58" s="1">
        <v>30</v>
      </c>
      <c r="AI58" s="5"/>
      <c r="AL58" s="47"/>
      <c r="AM58" s="23"/>
      <c r="AN58" s="24"/>
      <c r="AP58" s="126"/>
    </row>
    <row r="59" spans="2:95" ht="29.25" x14ac:dyDescent="0.4">
      <c r="B59" s="244"/>
      <c r="C59" s="244"/>
      <c r="D59" s="181"/>
      <c r="E59" s="263" t="s">
        <v>208</v>
      </c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151"/>
      <c r="AD59" s="85"/>
      <c r="AE59" s="85"/>
      <c r="AF59" s="264" t="s">
        <v>35</v>
      </c>
      <c r="AG59" s="265"/>
      <c r="AH59" s="266"/>
      <c r="AI59" s="5"/>
      <c r="AJ59" s="162">
        <v>8</v>
      </c>
      <c r="AL59" s="47"/>
      <c r="AM59" s="23"/>
      <c r="AN59" s="24"/>
      <c r="AP59" s="126"/>
    </row>
    <row r="60" spans="2:95" ht="30" thickBot="1" x14ac:dyDescent="0.45">
      <c r="B60" s="244"/>
      <c r="C60" s="244"/>
      <c r="D60" s="181"/>
      <c r="E60" s="78"/>
      <c r="F60" s="78"/>
      <c r="G60" s="78"/>
      <c r="H60" s="78"/>
      <c r="I60" s="80"/>
      <c r="J60" s="80"/>
      <c r="K60" s="78"/>
      <c r="L60" s="81"/>
      <c r="M60" s="96"/>
      <c r="N60" s="99"/>
      <c r="O60" s="99"/>
      <c r="P60" s="97"/>
      <c r="Q60" s="85"/>
      <c r="R60" s="1"/>
      <c r="S60" s="1"/>
      <c r="T60" s="1"/>
      <c r="U60" s="1"/>
      <c r="V60" s="1"/>
      <c r="W60" s="85"/>
      <c r="X60" s="85"/>
      <c r="Y60" s="84"/>
      <c r="Z60" s="84"/>
      <c r="AA60" s="84"/>
      <c r="AB60" s="84"/>
      <c r="AC60" s="84"/>
      <c r="AD60" s="85"/>
      <c r="AE60" s="85"/>
      <c r="AF60" s="84"/>
      <c r="AG60" s="81"/>
      <c r="AH60" s="84"/>
      <c r="AI60" s="147"/>
      <c r="AL60" s="47"/>
      <c r="AM60" s="23"/>
      <c r="AN60" s="27"/>
      <c r="AP60" s="126"/>
    </row>
    <row r="61" spans="2:95" ht="30" thickBot="1" x14ac:dyDescent="0.45">
      <c r="B61" s="244"/>
      <c r="C61" s="244"/>
      <c r="D61" s="181"/>
      <c r="E61" s="72"/>
      <c r="F61" s="73"/>
      <c r="G61" s="73"/>
      <c r="H61" s="73"/>
      <c r="I61" s="79"/>
      <c r="J61" s="79"/>
      <c r="K61" s="142" t="s">
        <v>83</v>
      </c>
      <c r="L61" s="81"/>
      <c r="M61" s="81"/>
      <c r="N61" s="98"/>
      <c r="O61" s="98"/>
      <c r="P61" s="82"/>
      <c r="Q61" s="82"/>
      <c r="R61" s="81"/>
      <c r="S61" s="81"/>
      <c r="T61" s="88" t="str">
        <f>(E140)</f>
        <v>VA Individual Appointments</v>
      </c>
      <c r="U61" s="81"/>
      <c r="V61" s="81"/>
      <c r="W61" s="82"/>
      <c r="X61" s="82"/>
      <c r="Y61" s="81"/>
      <c r="Z61" s="81"/>
      <c r="AA61" s="81"/>
      <c r="AB61" s="81"/>
      <c r="AC61" s="81"/>
      <c r="AD61" s="82"/>
      <c r="AE61" s="82"/>
      <c r="AF61" s="81"/>
      <c r="AG61" s="81"/>
      <c r="AH61" s="81"/>
      <c r="AI61" s="83"/>
      <c r="AL61" s="47"/>
      <c r="AM61" s="26"/>
      <c r="AN61" s="29">
        <v>24</v>
      </c>
      <c r="AP61" s="126">
        <f>SUM(AP55-AN61)</f>
        <v>-15</v>
      </c>
    </row>
    <row r="62" spans="2:95" ht="15.75" thickBot="1" x14ac:dyDescent="0.25">
      <c r="B62" s="244"/>
      <c r="C62" s="244"/>
      <c r="D62" s="181"/>
      <c r="AL62" s="47"/>
      <c r="AM62" s="23"/>
      <c r="AN62" s="28"/>
    </row>
    <row r="63" spans="2:95" x14ac:dyDescent="0.2">
      <c r="B63" s="244"/>
      <c r="C63" s="244"/>
      <c r="D63" s="181"/>
      <c r="E63" s="194">
        <v>46296</v>
      </c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6"/>
      <c r="AK63" s="162" t="s">
        <v>56</v>
      </c>
      <c r="AL63" s="47">
        <f>SUM(AL57+2.5-AN61)</f>
        <v>46</v>
      </c>
      <c r="AM63" s="23"/>
      <c r="AN63" s="24"/>
    </row>
    <row r="64" spans="2:95" x14ac:dyDescent="0.2">
      <c r="B64" s="244"/>
      <c r="C64" s="244"/>
      <c r="D64" s="181"/>
      <c r="E64" s="4">
        <v>1</v>
      </c>
      <c r="F64" s="1">
        <v>2</v>
      </c>
      <c r="G64" s="10">
        <v>3</v>
      </c>
      <c r="H64" s="10">
        <v>4</v>
      </c>
      <c r="I64" s="1">
        <v>5</v>
      </c>
      <c r="J64" s="1">
        <v>6</v>
      </c>
      <c r="K64" s="1">
        <v>7</v>
      </c>
      <c r="L64" s="1">
        <v>8</v>
      </c>
      <c r="M64" s="1">
        <v>9</v>
      </c>
      <c r="N64" s="10">
        <v>10</v>
      </c>
      <c r="O64" s="10">
        <v>11</v>
      </c>
      <c r="P64" s="1">
        <v>12</v>
      </c>
      <c r="Q64" s="1">
        <v>13</v>
      </c>
      <c r="R64" s="1">
        <v>14</v>
      </c>
      <c r="S64" s="1">
        <v>15</v>
      </c>
      <c r="T64" s="1">
        <v>16</v>
      </c>
      <c r="U64" s="10">
        <v>17</v>
      </c>
      <c r="V64" s="10">
        <v>18</v>
      </c>
      <c r="W64" s="1">
        <v>19</v>
      </c>
      <c r="X64" s="1">
        <v>20</v>
      </c>
      <c r="Y64" s="1">
        <v>21</v>
      </c>
      <c r="Z64" s="1">
        <v>22</v>
      </c>
      <c r="AA64" s="1">
        <v>23</v>
      </c>
      <c r="AB64" s="10">
        <v>24</v>
      </c>
      <c r="AC64" s="10">
        <v>25</v>
      </c>
      <c r="AD64" s="1">
        <v>26</v>
      </c>
      <c r="AE64" s="1">
        <v>27</v>
      </c>
      <c r="AF64" s="1">
        <v>28</v>
      </c>
      <c r="AG64" s="1">
        <v>29</v>
      </c>
      <c r="AH64" s="1">
        <v>30</v>
      </c>
      <c r="AI64" s="14">
        <v>31</v>
      </c>
      <c r="AJ64" s="56"/>
      <c r="AK64" s="56"/>
      <c r="AL64" s="47"/>
      <c r="AM64" s="23"/>
      <c r="AN64" s="24"/>
      <c r="BM64" s="262" t="s">
        <v>0</v>
      </c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</row>
    <row r="65" spans="1:95" ht="21" x14ac:dyDescent="0.3">
      <c r="B65" s="244"/>
      <c r="C65" s="244"/>
      <c r="D65" s="181"/>
      <c r="E65" s="189" t="s">
        <v>182</v>
      </c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4"/>
      <c r="AJ65" s="56">
        <v>12</v>
      </c>
      <c r="AK65" s="56"/>
      <c r="AL65" s="47"/>
      <c r="AM65" s="23"/>
      <c r="AN65" s="24"/>
      <c r="BM65">
        <v>1</v>
      </c>
      <c r="BN65">
        <v>2</v>
      </c>
      <c r="BO65">
        <v>3</v>
      </c>
      <c r="BP65">
        <v>4</v>
      </c>
      <c r="BQ65">
        <v>5</v>
      </c>
      <c r="BR65">
        <v>6</v>
      </c>
      <c r="BS65">
        <v>7</v>
      </c>
      <c r="BT65">
        <v>8</v>
      </c>
      <c r="BU65">
        <v>9</v>
      </c>
      <c r="BV65">
        <v>10</v>
      </c>
      <c r="BW65">
        <v>11</v>
      </c>
      <c r="BX65">
        <v>12</v>
      </c>
      <c r="BY65">
        <v>13</v>
      </c>
      <c r="BZ65">
        <v>14</v>
      </c>
      <c r="CA65">
        <v>15</v>
      </c>
      <c r="CB65">
        <v>16</v>
      </c>
      <c r="CC65">
        <v>17</v>
      </c>
      <c r="CD65">
        <v>18</v>
      </c>
      <c r="CE65">
        <v>19</v>
      </c>
      <c r="CF65">
        <v>20</v>
      </c>
      <c r="CG65">
        <v>21</v>
      </c>
      <c r="CH65">
        <v>22</v>
      </c>
      <c r="CI65">
        <v>23</v>
      </c>
      <c r="CJ65">
        <v>24</v>
      </c>
      <c r="CK65">
        <v>25</v>
      </c>
      <c r="CL65">
        <v>26</v>
      </c>
      <c r="CM65">
        <v>27</v>
      </c>
      <c r="CN65">
        <v>28</v>
      </c>
      <c r="CO65">
        <v>29</v>
      </c>
      <c r="CP65">
        <v>30</v>
      </c>
      <c r="CQ65">
        <v>31</v>
      </c>
    </row>
    <row r="66" spans="1:95" ht="15.75" thickBot="1" x14ac:dyDescent="0.25">
      <c r="B66" s="244"/>
      <c r="C66" s="244"/>
      <c r="D66" s="181"/>
      <c r="E66" s="4"/>
      <c r="F66" s="1"/>
      <c r="G66" s="10"/>
      <c r="H66" s="10"/>
      <c r="I66" s="1"/>
      <c r="J66" s="1"/>
      <c r="K66" s="1"/>
      <c r="L66" s="1"/>
      <c r="M66" s="1"/>
      <c r="N66" s="10"/>
      <c r="O66" s="10"/>
      <c r="P66" s="1"/>
      <c r="Q66" s="1"/>
      <c r="R66" s="1"/>
      <c r="S66" s="1"/>
      <c r="T66" s="1"/>
      <c r="U66" s="10"/>
      <c r="V66" s="10"/>
      <c r="W66" s="1"/>
      <c r="X66" s="1"/>
      <c r="Y66" s="1"/>
      <c r="Z66" s="1"/>
      <c r="AA66" s="1"/>
      <c r="AB66" s="10"/>
      <c r="AC66" s="10"/>
      <c r="AD66" s="1"/>
      <c r="AE66" s="1"/>
      <c r="AF66" s="1"/>
      <c r="AG66" s="1"/>
      <c r="AH66" s="1"/>
      <c r="AI66" s="14"/>
      <c r="AL66" s="47"/>
      <c r="AM66" s="23"/>
      <c r="AN66" s="27"/>
    </row>
    <row r="67" spans="1:95" ht="15.75" thickBot="1" x14ac:dyDescent="0.25">
      <c r="B67" s="244"/>
      <c r="C67" s="244"/>
      <c r="D67" s="181"/>
      <c r="E67" s="4"/>
      <c r="F67" s="1"/>
      <c r="G67" s="10"/>
      <c r="H67" s="10"/>
      <c r="I67" s="70" t="s">
        <v>89</v>
      </c>
      <c r="J67" s="1"/>
      <c r="K67" s="7"/>
      <c r="L67" s="7"/>
      <c r="M67" s="7"/>
      <c r="N67" s="10"/>
      <c r="O67" s="10"/>
      <c r="P67" s="141" t="s">
        <v>84</v>
      </c>
      <c r="Q67" s="1"/>
      <c r="R67" s="1"/>
      <c r="S67" s="1"/>
      <c r="T67" s="1"/>
      <c r="U67" s="10"/>
      <c r="V67" s="10"/>
      <c r="W67" s="7"/>
      <c r="X67" s="7"/>
      <c r="Y67" s="7"/>
      <c r="Z67" s="7"/>
      <c r="AA67" s="7"/>
      <c r="AB67" s="10"/>
      <c r="AC67" s="10"/>
      <c r="AD67" s="7"/>
      <c r="AE67" s="7"/>
      <c r="AF67" s="7"/>
      <c r="AG67" s="7"/>
      <c r="AH67" s="7"/>
      <c r="AI67" s="15"/>
      <c r="AL67" s="47"/>
      <c r="AM67" s="26"/>
      <c r="AN67" s="29">
        <v>0</v>
      </c>
    </row>
    <row r="68" spans="1:95" ht="15.75" thickBot="1" x14ac:dyDescent="0.25">
      <c r="B68" s="244"/>
      <c r="C68" s="244"/>
      <c r="D68" s="18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L68" s="47"/>
      <c r="AM68" s="23"/>
      <c r="AN68" s="28"/>
    </row>
    <row r="69" spans="1:95" ht="15.75" thickBot="1" x14ac:dyDescent="0.25">
      <c r="B69" s="244"/>
      <c r="C69" s="244"/>
      <c r="D69" s="252">
        <v>1</v>
      </c>
      <c r="E69" s="190">
        <v>46327</v>
      </c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2"/>
      <c r="AH69" s="192"/>
      <c r="AI69" s="193"/>
      <c r="AK69" s="162" t="s">
        <v>57</v>
      </c>
      <c r="AL69" s="47">
        <f>SUM(AL63+2.5-AN67)</f>
        <v>48.5</v>
      </c>
      <c r="AM69" s="23"/>
      <c r="AN69" s="24"/>
    </row>
    <row r="70" spans="1:95" x14ac:dyDescent="0.2">
      <c r="B70" s="244"/>
      <c r="C70" s="244"/>
      <c r="D70" s="252"/>
      <c r="E70" s="120">
        <v>1</v>
      </c>
      <c r="F70" s="57">
        <v>2</v>
      </c>
      <c r="G70" s="57">
        <v>3</v>
      </c>
      <c r="H70" s="57">
        <v>4</v>
      </c>
      <c r="I70" s="57">
        <v>5</v>
      </c>
      <c r="J70" s="57">
        <v>6</v>
      </c>
      <c r="K70" s="58">
        <v>7</v>
      </c>
      <c r="L70" s="58">
        <v>8</v>
      </c>
      <c r="M70" s="57">
        <v>9</v>
      </c>
      <c r="N70" s="57">
        <v>10</v>
      </c>
      <c r="O70" s="57">
        <v>11</v>
      </c>
      <c r="P70" s="57">
        <v>12</v>
      </c>
      <c r="Q70" s="57">
        <v>13</v>
      </c>
      <c r="R70" s="58">
        <v>14</v>
      </c>
      <c r="S70" s="58">
        <v>15</v>
      </c>
      <c r="T70" s="57">
        <v>16</v>
      </c>
      <c r="U70" s="57">
        <v>17</v>
      </c>
      <c r="V70" s="57">
        <v>18</v>
      </c>
      <c r="W70" s="57">
        <v>19</v>
      </c>
      <c r="X70" s="57">
        <v>20</v>
      </c>
      <c r="Y70" s="58">
        <v>21</v>
      </c>
      <c r="Z70" s="58">
        <v>22</v>
      </c>
      <c r="AA70" s="57">
        <v>23</v>
      </c>
      <c r="AB70" s="57">
        <v>24</v>
      </c>
      <c r="AC70" s="68">
        <v>25</v>
      </c>
      <c r="AD70" s="68">
        <v>26</v>
      </c>
      <c r="AE70" s="68">
        <v>27</v>
      </c>
      <c r="AF70" s="69">
        <v>28</v>
      </c>
      <c r="AG70" s="69">
        <v>29</v>
      </c>
      <c r="AH70" s="64">
        <v>30</v>
      </c>
      <c r="AI70" s="3"/>
      <c r="AJ70" s="56"/>
      <c r="AK70" s="56"/>
      <c r="AL70" s="47"/>
      <c r="AM70" s="23"/>
      <c r="AN70" s="24"/>
    </row>
    <row r="71" spans="1:95" ht="21.75" thickBot="1" x14ac:dyDescent="0.35">
      <c r="A71" s="67"/>
      <c r="B71" s="244"/>
      <c r="C71" s="244"/>
      <c r="D71" s="252"/>
      <c r="E71" s="121"/>
      <c r="F71" s="209" t="s">
        <v>201</v>
      </c>
      <c r="G71" s="210"/>
      <c r="H71" s="210"/>
      <c r="I71" s="210"/>
      <c r="J71" s="216"/>
      <c r="K71" s="60"/>
      <c r="L71" s="60"/>
      <c r="M71" s="186" t="s">
        <v>201</v>
      </c>
      <c r="N71" s="143" t="s">
        <v>111</v>
      </c>
      <c r="O71" s="143" t="s">
        <v>85</v>
      </c>
      <c r="P71" s="214" t="s">
        <v>201</v>
      </c>
      <c r="Q71" s="215"/>
      <c r="R71" s="60"/>
      <c r="S71" s="60"/>
      <c r="T71" s="209" t="s">
        <v>201</v>
      </c>
      <c r="U71" s="210"/>
      <c r="V71" s="210"/>
      <c r="W71" s="210"/>
      <c r="X71" s="210"/>
      <c r="Y71" s="60"/>
      <c r="Z71" s="60"/>
      <c r="AA71" s="209" t="s">
        <v>201</v>
      </c>
      <c r="AB71" s="210"/>
      <c r="AC71" s="213"/>
      <c r="AD71" s="211" t="s">
        <v>2</v>
      </c>
      <c r="AE71" s="212"/>
      <c r="AF71" s="60"/>
      <c r="AG71" s="60"/>
      <c r="AH71" s="187"/>
      <c r="AI71" s="5"/>
      <c r="AJ71" s="162">
        <v>13</v>
      </c>
      <c r="AL71" s="47"/>
      <c r="AM71" s="23"/>
      <c r="AN71" s="24"/>
    </row>
    <row r="72" spans="1:95" ht="15.75" thickBot="1" x14ac:dyDescent="0.25">
      <c r="B72" s="244"/>
      <c r="C72" s="244"/>
      <c r="D72" s="252"/>
      <c r="E72" s="121"/>
      <c r="F72" s="59"/>
      <c r="G72" s="59"/>
      <c r="H72" s="59"/>
      <c r="I72" s="59"/>
      <c r="J72" s="59"/>
      <c r="K72" s="60"/>
      <c r="L72" s="60"/>
      <c r="M72" s="59"/>
      <c r="N72" s="59"/>
      <c r="O72" s="59"/>
      <c r="P72" s="7"/>
      <c r="Q72" s="7"/>
      <c r="R72" s="60"/>
      <c r="S72" s="60"/>
      <c r="T72" s="7"/>
      <c r="U72" s="7"/>
      <c r="V72" s="7"/>
      <c r="W72" s="7"/>
      <c r="X72" s="7"/>
      <c r="Y72" s="60"/>
      <c r="Z72" s="60"/>
      <c r="AA72" s="59"/>
      <c r="AB72" s="7"/>
      <c r="AC72" s="59"/>
      <c r="AD72" s="59"/>
      <c r="AE72" s="59"/>
      <c r="AF72" s="60"/>
      <c r="AG72" s="60"/>
      <c r="AH72" s="1"/>
      <c r="AI72" s="5"/>
      <c r="AL72" s="47"/>
      <c r="AM72" s="23"/>
      <c r="AN72" s="27"/>
    </row>
    <row r="73" spans="1:95" ht="15.75" thickBot="1" x14ac:dyDescent="0.25">
      <c r="B73" s="244"/>
      <c r="C73" s="244"/>
      <c r="D73" s="252"/>
      <c r="E73" s="13"/>
      <c r="F73" s="7"/>
      <c r="G73" s="7"/>
      <c r="H73" s="7"/>
      <c r="I73" s="7"/>
      <c r="J73" s="7"/>
      <c r="K73" s="11"/>
      <c r="L73" s="11"/>
      <c r="M73" s="7"/>
      <c r="N73" s="7"/>
      <c r="O73" s="7"/>
      <c r="P73" s="7"/>
      <c r="Q73" s="7"/>
      <c r="R73" s="11"/>
      <c r="S73" s="11"/>
      <c r="T73" s="7"/>
      <c r="U73" s="7"/>
      <c r="V73" s="7"/>
      <c r="W73" s="7"/>
      <c r="X73" s="7"/>
      <c r="Y73" s="11"/>
      <c r="Z73" s="11"/>
      <c r="AA73" s="7"/>
      <c r="AB73" s="7"/>
      <c r="AC73" s="7"/>
      <c r="AD73" s="7"/>
      <c r="AE73" s="7"/>
      <c r="AF73" s="11"/>
      <c r="AG73" s="11"/>
      <c r="AH73" s="7"/>
      <c r="AI73" s="8"/>
      <c r="AL73" s="47"/>
      <c r="AM73" s="26"/>
      <c r="AN73" s="29">
        <v>0</v>
      </c>
    </row>
    <row r="74" spans="1:95" ht="15.75" thickBot="1" x14ac:dyDescent="0.25">
      <c r="B74" s="244"/>
      <c r="C74" s="244"/>
      <c r="D74" s="181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L74" s="47"/>
      <c r="AM74" s="23"/>
      <c r="AN74" s="28"/>
    </row>
    <row r="75" spans="1:95" x14ac:dyDescent="0.2">
      <c r="B75" s="244"/>
      <c r="C75" s="244"/>
      <c r="D75" s="252">
        <v>2</v>
      </c>
      <c r="E75" s="217">
        <v>46357</v>
      </c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9"/>
      <c r="AH75" s="219"/>
      <c r="AI75" s="220"/>
      <c r="AK75" s="162" t="s">
        <v>58</v>
      </c>
      <c r="AL75" s="47">
        <f>SUM(AL69+2.5-AN73)</f>
        <v>51</v>
      </c>
      <c r="AM75" s="23"/>
      <c r="AN75" s="24"/>
    </row>
    <row r="76" spans="1:95" x14ac:dyDescent="0.2">
      <c r="B76" s="244"/>
      <c r="C76" s="244"/>
      <c r="D76" s="252"/>
      <c r="E76" s="4">
        <v>1</v>
      </c>
      <c r="F76" s="1">
        <v>2</v>
      </c>
      <c r="G76" s="1">
        <v>3</v>
      </c>
      <c r="H76" s="1">
        <v>4</v>
      </c>
      <c r="I76" s="10">
        <v>5</v>
      </c>
      <c r="J76" s="10">
        <v>6</v>
      </c>
      <c r="K76" s="1">
        <v>7</v>
      </c>
      <c r="L76" s="1">
        <v>8</v>
      </c>
      <c r="M76" s="1">
        <v>9</v>
      </c>
      <c r="N76" s="1">
        <v>10</v>
      </c>
      <c r="O76" s="1">
        <v>11</v>
      </c>
      <c r="P76" s="10">
        <v>12</v>
      </c>
      <c r="Q76" s="10">
        <v>13</v>
      </c>
      <c r="R76" s="1">
        <v>14</v>
      </c>
      <c r="S76" s="1">
        <v>15</v>
      </c>
      <c r="T76" s="1">
        <v>16</v>
      </c>
      <c r="U76" s="1">
        <v>17</v>
      </c>
      <c r="V76" s="1">
        <v>18</v>
      </c>
      <c r="W76" s="10">
        <v>19</v>
      </c>
      <c r="X76" s="10">
        <v>20</v>
      </c>
      <c r="Y76" s="1">
        <v>21</v>
      </c>
      <c r="Z76" s="1">
        <v>22</v>
      </c>
      <c r="AA76" s="1">
        <v>23</v>
      </c>
      <c r="AB76" s="1">
        <v>24</v>
      </c>
      <c r="AC76" s="1">
        <v>25</v>
      </c>
      <c r="AD76" s="10">
        <v>26</v>
      </c>
      <c r="AE76" s="10">
        <v>27</v>
      </c>
      <c r="AF76" s="1">
        <v>28</v>
      </c>
      <c r="AG76" s="1">
        <v>29</v>
      </c>
      <c r="AH76" s="1">
        <v>30</v>
      </c>
      <c r="AI76" s="1">
        <v>31</v>
      </c>
      <c r="AL76" s="47"/>
      <c r="AM76" s="23"/>
      <c r="AN76" s="24"/>
    </row>
    <row r="77" spans="1:95" ht="21.75" thickBot="1" x14ac:dyDescent="0.35">
      <c r="B77" s="244"/>
      <c r="C77" s="244"/>
      <c r="D77" s="252"/>
      <c r="E77" s="200" t="s">
        <v>35</v>
      </c>
      <c r="F77" s="201"/>
      <c r="G77" s="201"/>
      <c r="H77" s="202"/>
      <c r="I77" s="11"/>
      <c r="J77" s="11"/>
      <c r="K77" s="206" t="s">
        <v>191</v>
      </c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8"/>
      <c r="AJ77" s="162">
        <v>3</v>
      </c>
      <c r="AL77" s="47"/>
      <c r="AM77" s="23"/>
      <c r="AN77" s="24"/>
    </row>
    <row r="78" spans="1:95" ht="15.75" thickBot="1" x14ac:dyDescent="0.25">
      <c r="B78" s="244"/>
      <c r="C78" s="244"/>
      <c r="D78" s="252"/>
      <c r="E78" s="7"/>
      <c r="F78" s="1" t="s">
        <v>206</v>
      </c>
      <c r="G78" s="1"/>
      <c r="H78" s="1"/>
      <c r="I78" s="10"/>
      <c r="J78" s="10"/>
      <c r="K78" s="7"/>
      <c r="L78" s="7"/>
      <c r="M78" s="1"/>
      <c r="N78" s="7"/>
      <c r="O78" s="7"/>
      <c r="P78" s="10"/>
      <c r="Q78" s="10"/>
      <c r="R78" s="1"/>
      <c r="S78" s="1"/>
      <c r="T78" s="1"/>
      <c r="U78" s="1"/>
      <c r="V78" s="1"/>
      <c r="W78" s="10"/>
      <c r="X78" s="10"/>
      <c r="Y78" s="1"/>
      <c r="Z78" s="1"/>
      <c r="AA78" s="1"/>
      <c r="AB78" s="1"/>
      <c r="AC78" s="1"/>
      <c r="AD78" s="10"/>
      <c r="AE78" s="10"/>
      <c r="AF78" s="1"/>
      <c r="AG78" s="1"/>
      <c r="AH78" s="1"/>
      <c r="AI78" s="5"/>
      <c r="AL78" s="47"/>
      <c r="AM78" s="23"/>
      <c r="AN78" s="27"/>
    </row>
    <row r="79" spans="1:95" ht="15.75" thickBot="1" x14ac:dyDescent="0.25">
      <c r="B79" s="244"/>
      <c r="C79" s="244"/>
      <c r="D79" s="252"/>
      <c r="E79" s="6"/>
      <c r="F79" s="7"/>
      <c r="G79" s="7"/>
      <c r="H79" s="7"/>
      <c r="I79" s="11"/>
      <c r="J79" s="11"/>
      <c r="K79" s="7"/>
      <c r="L79" s="7"/>
      <c r="M79" s="1"/>
      <c r="N79" s="7"/>
      <c r="O79" s="7"/>
      <c r="P79" s="11"/>
      <c r="Q79" s="11"/>
      <c r="R79" s="7"/>
      <c r="S79" s="7"/>
      <c r="T79" s="7"/>
      <c r="U79" s="7"/>
      <c r="V79" s="7"/>
      <c r="W79" s="11"/>
      <c r="X79" s="11"/>
      <c r="Y79" s="7"/>
      <c r="Z79" s="7"/>
      <c r="AA79" s="7"/>
      <c r="AB79" s="22" t="s">
        <v>3</v>
      </c>
      <c r="AC79" s="22" t="s">
        <v>3</v>
      </c>
      <c r="AD79" s="11"/>
      <c r="AE79" s="11"/>
      <c r="AF79" s="7"/>
      <c r="AG79" s="7"/>
      <c r="AH79" s="7"/>
      <c r="AI79" s="22" t="s">
        <v>3</v>
      </c>
      <c r="AL79" s="47"/>
      <c r="AM79" s="26"/>
      <c r="AN79" s="29">
        <v>0</v>
      </c>
    </row>
    <row r="80" spans="1:95" ht="15.75" thickBot="1" x14ac:dyDescent="0.25">
      <c r="B80" s="244"/>
      <c r="C80" s="244"/>
      <c r="D80" s="181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L80" s="47"/>
      <c r="AM80" s="23"/>
      <c r="AN80" s="28"/>
    </row>
    <row r="81" spans="2:48" ht="24.75" x14ac:dyDescent="0.35">
      <c r="B81" s="244"/>
      <c r="C81" s="244"/>
      <c r="D81" s="252">
        <v>3</v>
      </c>
      <c r="E81" s="194">
        <v>46388</v>
      </c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6"/>
      <c r="AJ81" s="140"/>
      <c r="AK81" s="162" t="s">
        <v>59</v>
      </c>
      <c r="AL81" s="47">
        <f>SUM(AL75+2.5-AN79)</f>
        <v>53.5</v>
      </c>
      <c r="AM81" s="23"/>
      <c r="AN81" s="24"/>
    </row>
    <row r="82" spans="2:48" x14ac:dyDescent="0.2">
      <c r="B82" s="244"/>
      <c r="C82" s="244"/>
      <c r="D82" s="252"/>
      <c r="E82" s="4">
        <v>1</v>
      </c>
      <c r="F82" s="10">
        <v>2</v>
      </c>
      <c r="G82" s="10">
        <v>3</v>
      </c>
      <c r="H82" s="1">
        <v>4</v>
      </c>
      <c r="I82" s="1">
        <v>5</v>
      </c>
      <c r="J82" s="1">
        <v>6</v>
      </c>
      <c r="K82" s="1">
        <v>7</v>
      </c>
      <c r="L82" s="1">
        <v>8</v>
      </c>
      <c r="M82" s="10">
        <v>9</v>
      </c>
      <c r="N82" s="10">
        <v>10</v>
      </c>
      <c r="O82" s="1">
        <v>11</v>
      </c>
      <c r="P82" s="1">
        <v>12</v>
      </c>
      <c r="Q82" s="1">
        <v>13</v>
      </c>
      <c r="R82" s="1">
        <v>14</v>
      </c>
      <c r="S82" s="1">
        <v>15</v>
      </c>
      <c r="T82" s="10">
        <v>16</v>
      </c>
      <c r="U82" s="10">
        <v>17</v>
      </c>
      <c r="V82" s="1">
        <v>18</v>
      </c>
      <c r="W82" s="1">
        <v>19</v>
      </c>
      <c r="X82" s="1">
        <v>20</v>
      </c>
      <c r="Y82" s="1">
        <v>21</v>
      </c>
      <c r="Z82" s="1">
        <v>22</v>
      </c>
      <c r="AA82" s="10">
        <v>23</v>
      </c>
      <c r="AB82" s="10">
        <v>24</v>
      </c>
      <c r="AC82" s="1">
        <v>25</v>
      </c>
      <c r="AD82" s="1">
        <v>26</v>
      </c>
      <c r="AE82" s="1">
        <v>27</v>
      </c>
      <c r="AF82" s="1">
        <v>28</v>
      </c>
      <c r="AG82" s="1">
        <v>29</v>
      </c>
      <c r="AH82" s="10">
        <v>30</v>
      </c>
      <c r="AI82" s="40">
        <v>31</v>
      </c>
      <c r="AJ82" s="162" t="s">
        <v>86</v>
      </c>
      <c r="AL82" s="47"/>
      <c r="AM82" s="23"/>
      <c r="AN82" s="24"/>
    </row>
    <row r="83" spans="2:48" ht="24.75" x14ac:dyDescent="0.35">
      <c r="B83" s="244"/>
      <c r="C83" s="244"/>
      <c r="D83" s="252"/>
      <c r="E83" s="206" t="s">
        <v>193</v>
      </c>
      <c r="F83" s="207"/>
      <c r="G83" s="208"/>
      <c r="H83" s="203" t="s">
        <v>202</v>
      </c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5"/>
      <c r="AJ83" s="140">
        <f>SUM(AJ55:AJ82)</f>
        <v>36</v>
      </c>
      <c r="AL83" s="47"/>
      <c r="AM83" s="23"/>
      <c r="AN83" s="24"/>
    </row>
    <row r="84" spans="2:48" ht="25.5" thickBot="1" x14ac:dyDescent="0.4">
      <c r="B84" s="244"/>
      <c r="C84" s="244"/>
      <c r="D84" s="252"/>
      <c r="E84" s="4"/>
      <c r="F84" s="10"/>
      <c r="G84" s="10"/>
      <c r="H84" s="1"/>
      <c r="I84" s="1"/>
      <c r="J84" s="1"/>
      <c r="K84" s="1"/>
      <c r="L84" s="1"/>
      <c r="M84" s="10"/>
      <c r="N84" s="10"/>
      <c r="O84" s="1"/>
      <c r="P84" s="1"/>
      <c r="Q84" s="1"/>
      <c r="R84" s="1"/>
      <c r="S84" s="1"/>
      <c r="T84" s="10"/>
      <c r="U84" s="10"/>
      <c r="V84" s="1"/>
      <c r="W84" s="1"/>
      <c r="X84" s="1"/>
      <c r="Y84" s="1"/>
      <c r="Z84" s="1"/>
      <c r="AA84" s="10"/>
      <c r="AB84" s="10"/>
      <c r="AC84" s="1"/>
      <c r="AD84" s="1"/>
      <c r="AE84" s="1"/>
      <c r="AF84" s="1"/>
      <c r="AG84" s="1"/>
      <c r="AH84" s="10"/>
      <c r="AI84" s="40"/>
      <c r="AJ84" s="140"/>
      <c r="AL84" s="47"/>
      <c r="AM84" s="23"/>
      <c r="AN84" s="27"/>
    </row>
    <row r="85" spans="2:48" ht="15.75" thickBot="1" x14ac:dyDescent="0.25">
      <c r="B85" s="244"/>
      <c r="C85" s="244"/>
      <c r="D85" s="252"/>
      <c r="E85" s="21" t="s">
        <v>2</v>
      </c>
      <c r="F85" s="10"/>
      <c r="G85" s="10"/>
      <c r="H85" s="1"/>
      <c r="I85" s="1"/>
      <c r="J85" s="1"/>
      <c r="K85" s="1"/>
      <c r="L85" s="1"/>
      <c r="M85" s="10"/>
      <c r="N85" s="10"/>
      <c r="O85" s="1"/>
      <c r="P85" s="1"/>
      <c r="Q85" s="1"/>
      <c r="R85" s="1"/>
      <c r="S85" s="1"/>
      <c r="T85" s="10"/>
      <c r="U85" s="10"/>
      <c r="V85" s="141" t="s">
        <v>81</v>
      </c>
      <c r="W85" s="1"/>
      <c r="X85" s="1"/>
      <c r="Y85" s="1"/>
      <c r="Z85" s="1"/>
      <c r="AA85" s="10"/>
      <c r="AB85" s="10"/>
      <c r="AC85" s="1"/>
      <c r="AD85" s="1"/>
      <c r="AE85" s="1"/>
      <c r="AF85" s="1"/>
      <c r="AG85" s="1"/>
      <c r="AH85" s="10"/>
      <c r="AI85" s="40"/>
      <c r="AL85" s="47"/>
      <c r="AM85" s="26"/>
      <c r="AN85" s="29">
        <v>0</v>
      </c>
    </row>
    <row r="86" spans="2:48" ht="35.25" thickBot="1" x14ac:dyDescent="0.55000000000000004">
      <c r="B86" s="244"/>
      <c r="C86" s="244"/>
      <c r="D86" s="181"/>
      <c r="AJ86" s="53" t="s">
        <v>87</v>
      </c>
      <c r="AL86" s="47"/>
      <c r="AM86" s="23"/>
      <c r="AN86" s="28"/>
      <c r="AS86">
        <v>31</v>
      </c>
      <c r="AV86">
        <v>28</v>
      </c>
    </row>
    <row r="87" spans="2:48" ht="35.25" thickBot="1" x14ac:dyDescent="0.55000000000000004">
      <c r="B87" s="244"/>
      <c r="C87" s="244"/>
      <c r="D87" s="252">
        <v>4</v>
      </c>
      <c r="E87" s="194">
        <v>46419</v>
      </c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6"/>
      <c r="AJ87" s="53">
        <f>AL117</f>
        <v>0</v>
      </c>
      <c r="AK87" s="162" t="s">
        <v>60</v>
      </c>
      <c r="AL87" s="47">
        <f>SUM(AL81+2.5-AN85)</f>
        <v>56</v>
      </c>
      <c r="AM87" s="23"/>
      <c r="AN87" s="24"/>
      <c r="AS87">
        <v>28</v>
      </c>
      <c r="AV87">
        <v>28</v>
      </c>
    </row>
    <row r="88" spans="2:48" x14ac:dyDescent="0.2">
      <c r="B88" s="244"/>
      <c r="C88" s="244"/>
      <c r="D88" s="252"/>
      <c r="E88" s="4">
        <v>1</v>
      </c>
      <c r="F88" s="1">
        <v>2</v>
      </c>
      <c r="G88" s="1">
        <v>3</v>
      </c>
      <c r="H88" s="1">
        <v>4</v>
      </c>
      <c r="I88" s="1">
        <v>5</v>
      </c>
      <c r="J88" s="38">
        <v>6</v>
      </c>
      <c r="K88" s="38">
        <v>7</v>
      </c>
      <c r="L88" s="1">
        <v>8</v>
      </c>
      <c r="M88" s="1">
        <v>9</v>
      </c>
      <c r="N88" s="1">
        <v>10</v>
      </c>
      <c r="O88" s="1">
        <v>11</v>
      </c>
      <c r="P88" s="1">
        <v>12</v>
      </c>
      <c r="Q88" s="38">
        <v>13</v>
      </c>
      <c r="R88" s="38">
        <v>14</v>
      </c>
      <c r="S88" s="1">
        <v>15</v>
      </c>
      <c r="T88" s="1">
        <v>16</v>
      </c>
      <c r="U88" s="1">
        <v>17</v>
      </c>
      <c r="V88" s="1">
        <v>18</v>
      </c>
      <c r="W88" s="1">
        <v>19</v>
      </c>
      <c r="X88" s="38">
        <v>20</v>
      </c>
      <c r="Y88" s="38">
        <v>21</v>
      </c>
      <c r="Z88" s="1">
        <v>22</v>
      </c>
      <c r="AA88" s="1">
        <v>23</v>
      </c>
      <c r="AB88" s="62">
        <v>24</v>
      </c>
      <c r="AC88" s="62">
        <v>25</v>
      </c>
      <c r="AD88" s="62">
        <v>26</v>
      </c>
      <c r="AE88" s="103">
        <v>27</v>
      </c>
      <c r="AF88" s="103">
        <v>28</v>
      </c>
      <c r="AG88" s="1"/>
      <c r="AH88" s="1"/>
      <c r="AI88" s="5"/>
      <c r="AL88" s="47"/>
      <c r="AM88" s="23"/>
      <c r="AN88" s="24"/>
      <c r="AV88">
        <v>3</v>
      </c>
    </row>
    <row r="89" spans="2:48" ht="21" customHeight="1" x14ac:dyDescent="0.2">
      <c r="B89" s="244"/>
      <c r="C89" s="244"/>
      <c r="D89" s="252"/>
      <c r="E89" s="267" t="s">
        <v>48</v>
      </c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8"/>
      <c r="AF89" s="269"/>
      <c r="AG89" s="102"/>
      <c r="AH89" s="1"/>
      <c r="AI89" s="5"/>
      <c r="AL89" s="47"/>
      <c r="AM89" s="23"/>
      <c r="AN89" s="24"/>
      <c r="AS89">
        <f>SUM(AS86:AS88)</f>
        <v>59</v>
      </c>
      <c r="AV89">
        <f>SUM(AV86:AV88)</f>
        <v>59</v>
      </c>
    </row>
    <row r="90" spans="2:48" ht="15.75" thickBot="1" x14ac:dyDescent="0.25">
      <c r="B90" s="244"/>
      <c r="C90" s="244"/>
      <c r="D90" s="252"/>
      <c r="E90" s="4"/>
      <c r="F90" s="1"/>
      <c r="G90" s="1"/>
      <c r="H90" s="1"/>
      <c r="I90" s="1"/>
      <c r="J90" s="38"/>
      <c r="K90" s="38"/>
      <c r="L90" s="1"/>
      <c r="M90" s="1"/>
      <c r="N90" s="1"/>
      <c r="O90" s="1"/>
      <c r="P90" s="1"/>
      <c r="Q90" s="38"/>
      <c r="R90" s="38"/>
      <c r="S90" s="1"/>
      <c r="T90" s="1"/>
      <c r="U90" s="1"/>
      <c r="V90" s="1"/>
      <c r="W90" s="1"/>
      <c r="X90" s="38"/>
      <c r="Y90" s="38"/>
      <c r="Z90" s="1"/>
      <c r="AA90" s="1"/>
      <c r="AB90" s="59"/>
      <c r="AC90" s="59"/>
      <c r="AD90" s="59"/>
      <c r="AE90" s="104"/>
      <c r="AF90" s="104"/>
      <c r="AG90" s="1"/>
      <c r="AH90" s="1"/>
      <c r="AI90" s="5"/>
      <c r="AL90" s="47"/>
      <c r="AM90" s="23"/>
      <c r="AN90" s="27"/>
    </row>
    <row r="91" spans="2:48" ht="15.75" thickBot="1" x14ac:dyDescent="0.25">
      <c r="B91" s="244"/>
      <c r="C91" s="244"/>
      <c r="D91" s="252"/>
      <c r="E91" s="4"/>
      <c r="F91" s="1"/>
      <c r="G91" s="1"/>
      <c r="H91" s="1"/>
      <c r="I91" s="1"/>
      <c r="J91" s="38"/>
      <c r="K91" s="38"/>
      <c r="L91" s="22" t="s">
        <v>9</v>
      </c>
      <c r="M91" s="1"/>
      <c r="N91" s="1"/>
      <c r="O91" s="1"/>
      <c r="P91" s="1"/>
      <c r="Q91" s="38"/>
      <c r="R91" s="38"/>
      <c r="S91" s="141" t="s">
        <v>82</v>
      </c>
      <c r="T91" s="1"/>
      <c r="U91" s="1"/>
      <c r="V91" s="1"/>
      <c r="W91" s="1"/>
      <c r="X91" s="38"/>
      <c r="Y91" s="38"/>
      <c r="Z91" s="1"/>
      <c r="AA91" s="1"/>
      <c r="AB91" s="1"/>
      <c r="AC91" s="1"/>
      <c r="AD91" s="1"/>
      <c r="AE91" s="38"/>
      <c r="AF91" s="38"/>
      <c r="AG91" s="1"/>
      <c r="AH91" s="1"/>
      <c r="AI91" s="5"/>
      <c r="AL91" s="47"/>
      <c r="AM91" s="26"/>
      <c r="AN91" s="29">
        <v>0</v>
      </c>
    </row>
    <row r="92" spans="2:48" ht="15.75" thickBot="1" x14ac:dyDescent="0.25">
      <c r="B92" s="244"/>
      <c r="C92" s="244"/>
      <c r="D92" s="181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L92" s="47"/>
      <c r="AM92" s="23"/>
      <c r="AN92" s="28"/>
    </row>
    <row r="93" spans="2:48" x14ac:dyDescent="0.2">
      <c r="B93" s="244"/>
      <c r="C93" s="244"/>
      <c r="D93" s="252">
        <v>5</v>
      </c>
      <c r="E93" s="194">
        <v>46447</v>
      </c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6"/>
      <c r="AK93" s="162" t="s">
        <v>61</v>
      </c>
      <c r="AL93" s="47">
        <f>SUM(AL87+2.5-AN91)</f>
        <v>58.5</v>
      </c>
      <c r="AM93" s="23"/>
      <c r="AN93" s="24"/>
    </row>
    <row r="94" spans="2:48" x14ac:dyDescent="0.2">
      <c r="B94" s="244"/>
      <c r="C94" s="244"/>
      <c r="D94" s="252"/>
      <c r="E94" s="4">
        <v>1</v>
      </c>
      <c r="F94" s="1">
        <v>2</v>
      </c>
      <c r="G94" s="1">
        <v>3</v>
      </c>
      <c r="H94" s="1">
        <v>4</v>
      </c>
      <c r="I94" s="1">
        <v>5</v>
      </c>
      <c r="J94" s="10">
        <v>6</v>
      </c>
      <c r="K94" s="10">
        <v>7</v>
      </c>
      <c r="L94" s="1">
        <v>8</v>
      </c>
      <c r="M94" s="1">
        <v>9</v>
      </c>
      <c r="N94" s="1">
        <v>10</v>
      </c>
      <c r="O94" s="1">
        <v>11</v>
      </c>
      <c r="P94" s="1">
        <v>12</v>
      </c>
      <c r="Q94" s="10">
        <v>13</v>
      </c>
      <c r="R94" s="10">
        <v>14</v>
      </c>
      <c r="S94" s="1">
        <v>15</v>
      </c>
      <c r="T94" s="1">
        <v>16</v>
      </c>
      <c r="U94" s="1">
        <v>17</v>
      </c>
      <c r="V94" s="1">
        <v>18</v>
      </c>
      <c r="W94" s="1">
        <v>19</v>
      </c>
      <c r="X94" s="10">
        <v>20</v>
      </c>
      <c r="Y94" s="10">
        <v>21</v>
      </c>
      <c r="Z94" s="1">
        <v>22</v>
      </c>
      <c r="AA94" s="1">
        <v>23</v>
      </c>
      <c r="AB94" s="1">
        <v>24</v>
      </c>
      <c r="AC94" s="1">
        <v>25</v>
      </c>
      <c r="AD94" s="1">
        <v>26</v>
      </c>
      <c r="AE94" s="10">
        <v>27</v>
      </c>
      <c r="AF94" s="10">
        <v>28</v>
      </c>
      <c r="AG94" s="1">
        <v>29</v>
      </c>
      <c r="AH94" s="1">
        <v>30</v>
      </c>
      <c r="AI94" s="5">
        <v>31</v>
      </c>
      <c r="AL94" s="47"/>
      <c r="AM94" s="23"/>
      <c r="AN94" s="24"/>
    </row>
    <row r="95" spans="2:48" ht="21.75" thickBot="1" x14ac:dyDescent="0.35">
      <c r="B95" s="244"/>
      <c r="C95" s="244"/>
      <c r="D95" s="252"/>
      <c r="E95" s="180" t="s">
        <v>205</v>
      </c>
      <c r="F95" s="197" t="s">
        <v>203</v>
      </c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9"/>
      <c r="AL95" s="47"/>
      <c r="AM95" s="23"/>
      <c r="AN95" s="24"/>
    </row>
    <row r="96" spans="2:48" ht="15.75" thickBot="1" x14ac:dyDescent="0.25">
      <c r="B96" s="244"/>
      <c r="C96" s="244"/>
      <c r="D96" s="252"/>
      <c r="E96" s="4"/>
      <c r="F96" s="1"/>
      <c r="G96" s="1"/>
      <c r="H96" s="1"/>
      <c r="I96" s="1"/>
      <c r="J96" s="10"/>
      <c r="K96" s="10"/>
      <c r="L96" s="1"/>
      <c r="M96" s="1"/>
      <c r="N96" s="1"/>
      <c r="O96" s="1"/>
      <c r="P96" s="1"/>
      <c r="Q96" s="10"/>
      <c r="R96" s="10"/>
      <c r="S96" s="1"/>
      <c r="T96" s="1"/>
      <c r="U96" s="1"/>
      <c r="V96" s="1"/>
      <c r="W96" s="1"/>
      <c r="X96" s="10"/>
      <c r="Y96" s="10"/>
      <c r="Z96" s="1"/>
      <c r="AA96" s="1"/>
      <c r="AB96" s="1"/>
      <c r="AC96" s="1"/>
      <c r="AD96" s="1"/>
      <c r="AE96" s="10"/>
      <c r="AF96" s="10"/>
      <c r="AG96" s="1"/>
      <c r="AH96" s="1"/>
      <c r="AI96" s="5"/>
      <c r="AL96" s="47"/>
      <c r="AM96" s="23"/>
      <c r="AN96" s="27"/>
    </row>
    <row r="97" spans="2:40" ht="15.75" thickBot="1" x14ac:dyDescent="0.25">
      <c r="B97" s="244"/>
      <c r="C97" s="244"/>
      <c r="D97" s="252"/>
      <c r="E97" s="4"/>
      <c r="F97" s="1"/>
      <c r="G97" s="1"/>
      <c r="H97" s="1"/>
      <c r="I97" s="1"/>
      <c r="J97" s="10"/>
      <c r="K97" s="10"/>
      <c r="L97" s="1"/>
      <c r="M97" s="1"/>
      <c r="N97" s="1"/>
      <c r="O97" s="1"/>
      <c r="P97" s="1"/>
      <c r="Q97" s="10"/>
      <c r="R97" s="10"/>
      <c r="S97" s="1"/>
      <c r="T97" s="1"/>
      <c r="U97" s="1"/>
      <c r="V97" s="1"/>
      <c r="W97" s="1"/>
      <c r="X97" s="10"/>
      <c r="Y97" s="10"/>
      <c r="Z97" s="1"/>
      <c r="AA97" s="1"/>
      <c r="AB97" s="1"/>
      <c r="AC97" s="1"/>
      <c r="AD97" s="1"/>
      <c r="AE97" s="10"/>
      <c r="AF97" s="10"/>
      <c r="AG97" s="1"/>
      <c r="AH97" s="1"/>
      <c r="AI97" s="5"/>
      <c r="AL97" s="47"/>
      <c r="AM97" s="26"/>
      <c r="AN97" s="29">
        <v>31</v>
      </c>
    </row>
    <row r="98" spans="2:40" ht="15.75" thickBot="1" x14ac:dyDescent="0.25">
      <c r="B98" s="244"/>
      <c r="C98" s="244"/>
      <c r="D98" s="181"/>
      <c r="AL98" s="47"/>
      <c r="AM98" s="23"/>
      <c r="AN98" s="28"/>
    </row>
    <row r="99" spans="2:40" x14ac:dyDescent="0.2">
      <c r="B99" s="244"/>
      <c r="C99" s="244"/>
      <c r="D99" s="252">
        <v>6</v>
      </c>
      <c r="E99" s="194">
        <v>46478</v>
      </c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6"/>
      <c r="AK99" s="162" t="s">
        <v>62</v>
      </c>
      <c r="AL99" s="47">
        <f>SUM(AL93+2.5-AN97)</f>
        <v>30</v>
      </c>
      <c r="AM99" s="23"/>
      <c r="AN99" s="24"/>
    </row>
    <row r="100" spans="2:40" x14ac:dyDescent="0.2">
      <c r="B100" s="244"/>
      <c r="C100" s="244"/>
      <c r="D100" s="252"/>
      <c r="E100" s="4">
        <v>1</v>
      </c>
      <c r="F100" s="1">
        <v>2</v>
      </c>
      <c r="G100" s="10">
        <v>3</v>
      </c>
      <c r="H100" s="10">
        <v>4</v>
      </c>
      <c r="I100" s="1">
        <v>5</v>
      </c>
      <c r="J100" s="1">
        <v>6</v>
      </c>
      <c r="K100" s="1">
        <v>7</v>
      </c>
      <c r="L100" s="1">
        <v>8</v>
      </c>
      <c r="M100" s="1">
        <v>9</v>
      </c>
      <c r="N100" s="10">
        <v>10</v>
      </c>
      <c r="O100" s="10">
        <v>11</v>
      </c>
      <c r="P100" s="1">
        <v>12</v>
      </c>
      <c r="Q100" s="1">
        <v>13</v>
      </c>
      <c r="R100" s="1">
        <v>14</v>
      </c>
      <c r="S100" s="1">
        <v>15</v>
      </c>
      <c r="T100" s="1">
        <v>16</v>
      </c>
      <c r="U100" s="10">
        <v>17</v>
      </c>
      <c r="V100" s="10">
        <v>18</v>
      </c>
      <c r="W100" s="1">
        <v>19</v>
      </c>
      <c r="X100" s="1">
        <v>20</v>
      </c>
      <c r="Y100" s="1">
        <v>21</v>
      </c>
      <c r="Z100" s="1">
        <v>22</v>
      </c>
      <c r="AA100" s="1">
        <v>23</v>
      </c>
      <c r="AB100" s="10">
        <v>24</v>
      </c>
      <c r="AC100" s="10">
        <v>25</v>
      </c>
      <c r="AD100" s="1">
        <v>26</v>
      </c>
      <c r="AE100" s="1">
        <v>27</v>
      </c>
      <c r="AF100" s="1">
        <v>28</v>
      </c>
      <c r="AG100" s="1">
        <v>29</v>
      </c>
      <c r="AH100" s="1">
        <v>30</v>
      </c>
      <c r="AI100" s="5"/>
      <c r="AL100" s="47"/>
      <c r="AM100" s="23"/>
      <c r="AN100" s="24"/>
    </row>
    <row r="101" spans="2:40" ht="21.75" thickBot="1" x14ac:dyDescent="0.35">
      <c r="B101" s="244"/>
      <c r="C101" s="244"/>
      <c r="D101" s="252"/>
      <c r="E101" s="197" t="s">
        <v>204</v>
      </c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65"/>
      <c r="AL101" s="47"/>
      <c r="AM101" s="23"/>
      <c r="AN101" s="24"/>
    </row>
    <row r="102" spans="2:40" ht="15.75" thickBot="1" x14ac:dyDescent="0.25">
      <c r="B102" s="244"/>
      <c r="C102" s="244"/>
      <c r="D102" s="252"/>
      <c r="E102" s="4"/>
      <c r="F102" s="1"/>
      <c r="G102" s="10"/>
      <c r="H102" s="10"/>
      <c r="I102" s="1"/>
      <c r="J102" s="1"/>
      <c r="K102" s="1"/>
      <c r="L102" s="1"/>
      <c r="M102" s="1"/>
      <c r="N102" s="10"/>
      <c r="O102" s="10"/>
      <c r="P102" s="1"/>
      <c r="Q102" s="1"/>
      <c r="R102" s="1"/>
      <c r="S102" s="1"/>
      <c r="T102" s="1"/>
      <c r="U102" s="10"/>
      <c r="V102" s="10"/>
      <c r="W102" s="1"/>
      <c r="X102" s="1"/>
      <c r="Y102" s="1"/>
      <c r="Z102" s="1"/>
      <c r="AA102" s="1"/>
      <c r="AB102" s="10"/>
      <c r="AC102" s="10"/>
      <c r="AD102" s="1"/>
      <c r="AE102" s="1"/>
      <c r="AF102" s="1"/>
      <c r="AG102" s="1"/>
      <c r="AH102" s="1"/>
      <c r="AI102" s="5"/>
      <c r="AL102" s="47"/>
      <c r="AM102" s="23"/>
      <c r="AN102" s="27"/>
    </row>
    <row r="103" spans="2:40" ht="15.75" thickBot="1" x14ac:dyDescent="0.25">
      <c r="B103" s="244"/>
      <c r="C103" s="244"/>
      <c r="D103" s="252"/>
      <c r="E103" s="4"/>
      <c r="F103" s="1"/>
      <c r="G103" s="10"/>
      <c r="H103" s="10"/>
      <c r="I103" s="1"/>
      <c r="J103" s="1"/>
      <c r="K103" s="1"/>
      <c r="L103" s="1"/>
      <c r="M103" s="1"/>
      <c r="N103" s="10"/>
      <c r="O103" s="10"/>
      <c r="P103" s="1"/>
      <c r="Q103" s="1"/>
      <c r="R103" s="1"/>
      <c r="S103" s="1"/>
      <c r="T103" s="1"/>
      <c r="U103" s="10"/>
      <c r="V103" s="10"/>
      <c r="W103" s="1"/>
      <c r="X103" s="1"/>
      <c r="Y103" s="1"/>
      <c r="Z103" s="1"/>
      <c r="AA103" s="1"/>
      <c r="AB103" s="10"/>
      <c r="AC103" s="10"/>
      <c r="AD103" s="1"/>
      <c r="AE103" s="1"/>
      <c r="AF103" s="1"/>
      <c r="AG103" s="1"/>
      <c r="AH103" s="1"/>
      <c r="AI103" s="5"/>
      <c r="AL103" s="47"/>
      <c r="AM103" s="26"/>
      <c r="AN103" s="29">
        <v>30</v>
      </c>
    </row>
    <row r="104" spans="2:40" ht="15.75" thickBot="1" x14ac:dyDescent="0.25">
      <c r="B104" s="244"/>
      <c r="C104" s="244"/>
      <c r="D104" s="181"/>
      <c r="AL104" s="47"/>
      <c r="AM104" s="23"/>
      <c r="AN104" s="28"/>
    </row>
    <row r="105" spans="2:40" x14ac:dyDescent="0.2">
      <c r="B105" s="244"/>
      <c r="C105" s="244"/>
      <c r="D105" s="181"/>
      <c r="E105" s="194">
        <v>46508</v>
      </c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6"/>
      <c r="AK105" s="162" t="s">
        <v>51</v>
      </c>
      <c r="AL105" s="47">
        <f>SUM(AL99-AN103)</f>
        <v>0</v>
      </c>
      <c r="AM105" s="23"/>
      <c r="AN105" s="24"/>
    </row>
    <row r="106" spans="2:40" x14ac:dyDescent="0.2">
      <c r="B106" s="244"/>
      <c r="C106" s="244"/>
      <c r="D106" s="181"/>
      <c r="E106" s="12">
        <v>1</v>
      </c>
      <c r="F106" s="10">
        <v>2</v>
      </c>
      <c r="G106" s="1">
        <v>3</v>
      </c>
      <c r="H106" s="1">
        <v>4</v>
      </c>
      <c r="I106" s="1">
        <v>5</v>
      </c>
      <c r="J106" s="1">
        <v>6</v>
      </c>
      <c r="K106" s="1">
        <v>7</v>
      </c>
      <c r="L106" s="10">
        <v>8</v>
      </c>
      <c r="M106" s="10">
        <v>9</v>
      </c>
      <c r="N106" s="1">
        <v>10</v>
      </c>
      <c r="O106" s="1">
        <v>11</v>
      </c>
      <c r="P106" s="1">
        <v>12</v>
      </c>
      <c r="Q106" s="1">
        <v>13</v>
      </c>
      <c r="R106" s="1">
        <v>14</v>
      </c>
      <c r="S106" s="10">
        <v>15</v>
      </c>
      <c r="T106" s="10">
        <v>16</v>
      </c>
      <c r="U106" s="1">
        <v>17</v>
      </c>
      <c r="V106" s="1">
        <v>18</v>
      </c>
      <c r="W106" s="1">
        <v>19</v>
      </c>
      <c r="X106" s="1">
        <v>20</v>
      </c>
      <c r="Y106" s="1">
        <v>21</v>
      </c>
      <c r="Z106" s="10">
        <v>22</v>
      </c>
      <c r="AA106" s="10">
        <v>23</v>
      </c>
      <c r="AB106" s="1">
        <v>24</v>
      </c>
      <c r="AC106" s="1">
        <v>25</v>
      </c>
      <c r="AD106" s="1">
        <v>26</v>
      </c>
      <c r="AE106" s="1">
        <v>27</v>
      </c>
      <c r="AF106" s="1">
        <v>28</v>
      </c>
      <c r="AG106" s="10">
        <v>29</v>
      </c>
      <c r="AH106" s="10">
        <v>30</v>
      </c>
      <c r="AI106" s="5">
        <v>31</v>
      </c>
      <c r="AL106" s="47"/>
      <c r="AM106" s="23"/>
      <c r="AN106" s="24"/>
    </row>
    <row r="107" spans="2:40" x14ac:dyDescent="0.2">
      <c r="B107" s="244"/>
      <c r="C107" s="244"/>
      <c r="D107" s="181"/>
      <c r="E107" s="51" t="s">
        <v>30</v>
      </c>
      <c r="F107" s="10"/>
      <c r="G107" s="1"/>
      <c r="H107" s="1"/>
      <c r="I107" s="1"/>
      <c r="J107" s="1"/>
      <c r="K107" s="1"/>
      <c r="L107" s="10"/>
      <c r="M107" s="10"/>
      <c r="N107" s="1"/>
      <c r="O107" s="1"/>
      <c r="P107" s="1"/>
      <c r="Q107" s="1"/>
      <c r="R107" s="1"/>
      <c r="S107" s="10"/>
      <c r="T107" s="10"/>
      <c r="U107" s="1"/>
      <c r="V107" s="1"/>
      <c r="W107" s="1"/>
      <c r="X107" s="1"/>
      <c r="Y107" s="1"/>
      <c r="Z107" s="10"/>
      <c r="AA107" s="10"/>
      <c r="AB107" s="1"/>
      <c r="AC107" s="1"/>
      <c r="AD107" s="1"/>
      <c r="AE107" s="1"/>
      <c r="AF107" s="1"/>
      <c r="AG107" s="10"/>
      <c r="AH107" s="10"/>
      <c r="AI107" s="5"/>
      <c r="AL107" s="47"/>
      <c r="AM107" s="23"/>
      <c r="AN107" s="24"/>
    </row>
    <row r="108" spans="2:40" ht="15.75" thickBot="1" x14ac:dyDescent="0.25">
      <c r="B108" s="244"/>
      <c r="C108" s="244"/>
      <c r="D108" s="181"/>
      <c r="E108" s="51"/>
      <c r="F108" s="10"/>
      <c r="G108" s="1"/>
      <c r="H108" s="1"/>
      <c r="I108" s="1"/>
      <c r="J108" s="1"/>
      <c r="K108" s="1"/>
      <c r="L108" s="10"/>
      <c r="M108" s="10"/>
      <c r="N108" s="1"/>
      <c r="O108" s="1"/>
      <c r="P108" s="1"/>
      <c r="Q108" s="1"/>
      <c r="R108" s="1"/>
      <c r="S108" s="10"/>
      <c r="T108" s="10"/>
      <c r="U108" s="1"/>
      <c r="V108" s="1"/>
      <c r="W108" s="1"/>
      <c r="X108" s="1"/>
      <c r="Y108" s="1"/>
      <c r="Z108" s="10"/>
      <c r="AA108" s="10"/>
      <c r="AB108" s="1"/>
      <c r="AC108" s="1"/>
      <c r="AD108" s="1"/>
      <c r="AE108" s="1"/>
      <c r="AF108" s="1"/>
      <c r="AG108" s="10"/>
      <c r="AH108" s="10"/>
      <c r="AI108" s="5"/>
      <c r="AL108" s="47"/>
      <c r="AM108" s="23"/>
      <c r="AN108" s="27"/>
    </row>
    <row r="109" spans="2:40" ht="15.75" thickBot="1" x14ac:dyDescent="0.25">
      <c r="B109" s="244"/>
      <c r="C109" s="244"/>
      <c r="D109" s="181"/>
      <c r="E109" s="51"/>
      <c r="F109" s="10"/>
      <c r="G109" s="1"/>
      <c r="H109" s="1"/>
      <c r="I109" s="1"/>
      <c r="J109" s="1"/>
      <c r="K109" s="1"/>
      <c r="L109" s="10"/>
      <c r="M109" s="10"/>
      <c r="N109" s="1"/>
      <c r="O109" s="1"/>
      <c r="P109" s="1"/>
      <c r="Q109" s="1"/>
      <c r="R109" s="1"/>
      <c r="S109" s="10"/>
      <c r="T109" s="10"/>
      <c r="U109" s="1"/>
      <c r="V109" s="1"/>
      <c r="W109" s="1"/>
      <c r="X109" s="1"/>
      <c r="Y109" s="1"/>
      <c r="Z109" s="10"/>
      <c r="AA109" s="10"/>
      <c r="AB109" s="1"/>
      <c r="AC109" s="1"/>
      <c r="AD109" s="1"/>
      <c r="AE109" s="1"/>
      <c r="AF109" s="1"/>
      <c r="AG109" s="10"/>
      <c r="AH109" s="10"/>
      <c r="AI109" s="5"/>
      <c r="AL109" s="47"/>
      <c r="AM109" s="26"/>
      <c r="AN109" s="29">
        <v>0</v>
      </c>
    </row>
    <row r="110" spans="2:40" ht="15.75" thickBot="1" x14ac:dyDescent="0.25">
      <c r="B110" s="244"/>
      <c r="C110" s="244"/>
      <c r="D110" s="181"/>
      <c r="AL110" s="47"/>
      <c r="AM110" s="23"/>
      <c r="AN110" s="28"/>
    </row>
    <row r="111" spans="2:40" x14ac:dyDescent="0.2">
      <c r="B111" s="244"/>
      <c r="C111" s="244"/>
      <c r="D111" s="181"/>
      <c r="E111" s="194">
        <v>46539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6"/>
      <c r="AK111" s="162" t="s">
        <v>52</v>
      </c>
      <c r="AL111" s="47">
        <f>SUM(AL105-AN109)</f>
        <v>0</v>
      </c>
      <c r="AM111" s="23"/>
      <c r="AN111" s="24"/>
    </row>
    <row r="112" spans="2:40" x14ac:dyDescent="0.2">
      <c r="B112" s="244"/>
      <c r="C112" s="244"/>
      <c r="D112" s="181"/>
      <c r="E112" s="4">
        <v>1</v>
      </c>
      <c r="F112" s="1">
        <v>2</v>
      </c>
      <c r="G112" s="1">
        <v>3</v>
      </c>
      <c r="H112" s="1">
        <v>4</v>
      </c>
      <c r="I112" s="10">
        <v>5</v>
      </c>
      <c r="J112" s="10">
        <v>6</v>
      </c>
      <c r="K112" s="1">
        <v>7</v>
      </c>
      <c r="L112" s="1">
        <v>8</v>
      </c>
      <c r="M112" s="1">
        <v>9</v>
      </c>
      <c r="N112" s="1">
        <v>10</v>
      </c>
      <c r="O112" s="1">
        <v>11</v>
      </c>
      <c r="P112" s="10">
        <v>12</v>
      </c>
      <c r="Q112" s="10">
        <v>13</v>
      </c>
      <c r="R112" s="1">
        <v>14</v>
      </c>
      <c r="S112" s="1">
        <v>15</v>
      </c>
      <c r="T112" s="1">
        <v>16</v>
      </c>
      <c r="U112" s="1">
        <v>17</v>
      </c>
      <c r="V112" s="1">
        <v>18</v>
      </c>
      <c r="W112" s="10">
        <v>19</v>
      </c>
      <c r="X112" s="10">
        <v>20</v>
      </c>
      <c r="Y112" s="1">
        <v>21</v>
      </c>
      <c r="Z112" s="1">
        <v>22</v>
      </c>
      <c r="AA112" s="1">
        <v>23</v>
      </c>
      <c r="AB112" s="1">
        <v>24</v>
      </c>
      <c r="AC112" s="1">
        <v>25</v>
      </c>
      <c r="AD112" s="10">
        <v>26</v>
      </c>
      <c r="AE112" s="10">
        <v>27</v>
      </c>
      <c r="AF112" s="1">
        <v>28</v>
      </c>
      <c r="AG112" s="1">
        <v>29</v>
      </c>
      <c r="AH112" s="1">
        <v>30</v>
      </c>
      <c r="AI112" s="5"/>
      <c r="AL112" s="47"/>
      <c r="AM112" s="23"/>
      <c r="AN112" s="24"/>
    </row>
    <row r="113" spans="2:40" x14ac:dyDescent="0.2">
      <c r="B113" s="244"/>
      <c r="C113" s="244"/>
      <c r="D113" s="181"/>
      <c r="E113" s="52"/>
      <c r="F113" s="1"/>
      <c r="G113" s="1"/>
      <c r="H113" s="1"/>
      <c r="I113" s="10"/>
      <c r="J113" s="10"/>
      <c r="K113" s="1"/>
      <c r="L113" s="1"/>
      <c r="M113" s="1"/>
      <c r="N113" s="1"/>
      <c r="O113" s="1"/>
      <c r="P113" s="10"/>
      <c r="Q113" s="10"/>
      <c r="R113" s="1"/>
      <c r="S113" s="1"/>
      <c r="T113" s="1"/>
      <c r="U113" s="1"/>
      <c r="V113" s="1"/>
      <c r="W113" s="10"/>
      <c r="X113" s="10"/>
      <c r="Y113" s="1"/>
      <c r="Z113" s="1"/>
      <c r="AA113" s="1"/>
      <c r="AB113" s="1"/>
      <c r="AC113" s="1"/>
      <c r="AD113" s="10"/>
      <c r="AE113" s="10"/>
      <c r="AF113" s="1"/>
      <c r="AG113" s="1"/>
      <c r="AH113" s="1"/>
      <c r="AI113" s="5"/>
      <c r="AL113" s="47"/>
      <c r="AM113" s="23"/>
      <c r="AN113" s="24"/>
    </row>
    <row r="114" spans="2:40" ht="15.75" thickBot="1" x14ac:dyDescent="0.25">
      <c r="B114" s="244"/>
      <c r="C114" s="244"/>
      <c r="D114" s="181"/>
      <c r="E114" s="52"/>
      <c r="F114" s="1"/>
      <c r="G114" s="1"/>
      <c r="H114" s="1"/>
      <c r="I114" s="10"/>
      <c r="J114" s="10"/>
      <c r="K114" s="1"/>
      <c r="L114" s="1"/>
      <c r="M114" s="1"/>
      <c r="N114" s="1"/>
      <c r="O114" s="1"/>
      <c r="P114" s="10"/>
      <c r="Q114" s="10"/>
      <c r="R114" s="1"/>
      <c r="S114" s="1"/>
      <c r="T114" s="1"/>
      <c r="U114" s="1"/>
      <c r="V114" s="1"/>
      <c r="W114" s="10"/>
      <c r="X114" s="10"/>
      <c r="Y114" s="1"/>
      <c r="Z114" s="1"/>
      <c r="AA114" s="1"/>
      <c r="AB114" s="1"/>
      <c r="AC114" s="1"/>
      <c r="AD114" s="10"/>
      <c r="AE114" s="10"/>
      <c r="AF114" s="1"/>
      <c r="AG114" s="1"/>
      <c r="AH114" s="1"/>
      <c r="AI114" s="5"/>
      <c r="AL114" s="47"/>
      <c r="AM114" s="23"/>
      <c r="AN114" s="27"/>
    </row>
    <row r="115" spans="2:40" ht="15.75" thickBot="1" x14ac:dyDescent="0.25">
      <c r="B115" s="244"/>
      <c r="C115" s="244"/>
      <c r="D115" s="181"/>
      <c r="E115" s="52"/>
      <c r="F115" s="1"/>
      <c r="G115" s="1"/>
      <c r="H115" s="1"/>
      <c r="I115" s="10"/>
      <c r="J115" s="10"/>
      <c r="K115" s="1"/>
      <c r="L115" s="1"/>
      <c r="M115" s="1"/>
      <c r="N115" s="1"/>
      <c r="O115" s="1"/>
      <c r="P115" s="10"/>
      <c r="Q115" s="10"/>
      <c r="R115" s="1"/>
      <c r="S115" s="1"/>
      <c r="T115" s="1"/>
      <c r="U115" s="1"/>
      <c r="V115" s="1"/>
      <c r="W115" s="10"/>
      <c r="X115" s="10"/>
      <c r="Y115" s="1"/>
      <c r="Z115" s="1"/>
      <c r="AA115" s="1"/>
      <c r="AB115" s="1"/>
      <c r="AC115" s="1"/>
      <c r="AD115" s="10"/>
      <c r="AE115" s="10"/>
      <c r="AF115" s="1"/>
      <c r="AG115" s="1"/>
      <c r="AH115" s="1"/>
      <c r="AI115" s="5"/>
      <c r="AL115" s="48"/>
      <c r="AM115" s="26"/>
      <c r="AN115" s="29">
        <v>0</v>
      </c>
    </row>
    <row r="116" spans="2:40" ht="35.25" thickBot="1" x14ac:dyDescent="0.55000000000000004">
      <c r="AJ116" s="55"/>
      <c r="AK116" s="55"/>
      <c r="AL116" s="54" t="s">
        <v>11</v>
      </c>
      <c r="AM116" s="148"/>
      <c r="AN116" s="28"/>
    </row>
    <row r="117" spans="2:40" ht="35.25" thickBot="1" x14ac:dyDescent="0.55000000000000004">
      <c r="E117" s="194">
        <v>46569</v>
      </c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6"/>
      <c r="AJ117" s="55"/>
      <c r="AK117" s="55" t="s">
        <v>53</v>
      </c>
      <c r="AL117" s="53">
        <f>SUM(AL111-AN115)</f>
        <v>0</v>
      </c>
      <c r="AM117" s="148"/>
      <c r="AN117" s="24"/>
    </row>
    <row r="118" spans="2:40" x14ac:dyDescent="0.2">
      <c r="E118" s="16">
        <v>1</v>
      </c>
      <c r="F118" s="1">
        <v>2</v>
      </c>
      <c r="G118" s="10">
        <v>3</v>
      </c>
      <c r="H118" s="10">
        <v>4</v>
      </c>
      <c r="I118" s="1">
        <v>5</v>
      </c>
      <c r="J118" s="1">
        <v>6</v>
      </c>
      <c r="K118" s="1">
        <v>7</v>
      </c>
      <c r="L118" s="1">
        <v>8</v>
      </c>
      <c r="M118" s="1">
        <v>9</v>
      </c>
      <c r="N118" s="10">
        <v>10</v>
      </c>
      <c r="O118" s="10">
        <v>11</v>
      </c>
      <c r="P118" s="1">
        <v>12</v>
      </c>
      <c r="Q118" s="1">
        <v>13</v>
      </c>
      <c r="R118" s="1">
        <v>14</v>
      </c>
      <c r="S118" s="1">
        <v>15</v>
      </c>
      <c r="T118" s="1">
        <v>16</v>
      </c>
      <c r="U118" s="10">
        <v>17</v>
      </c>
      <c r="V118" s="10">
        <v>18</v>
      </c>
      <c r="W118" s="1">
        <v>19</v>
      </c>
      <c r="X118" s="1">
        <v>20</v>
      </c>
      <c r="Y118" s="1">
        <v>21</v>
      </c>
      <c r="Z118" s="1">
        <v>22</v>
      </c>
      <c r="AA118" s="1">
        <v>23</v>
      </c>
      <c r="AB118" s="10">
        <v>24</v>
      </c>
      <c r="AC118" s="10">
        <v>25</v>
      </c>
      <c r="AD118" s="1">
        <v>26</v>
      </c>
      <c r="AE118" s="1">
        <v>27</v>
      </c>
      <c r="AF118" s="1">
        <v>28</v>
      </c>
      <c r="AG118" s="1">
        <v>29</v>
      </c>
      <c r="AH118" s="1">
        <v>30</v>
      </c>
      <c r="AI118" s="14">
        <v>31</v>
      </c>
      <c r="AL118" s="49"/>
      <c r="AM118" s="23"/>
      <c r="AN118" s="24"/>
    </row>
    <row r="119" spans="2:40" x14ac:dyDescent="0.2">
      <c r="E119" s="20" t="s">
        <v>1</v>
      </c>
      <c r="F119" s="1"/>
      <c r="G119" s="10"/>
      <c r="H119" s="10"/>
      <c r="I119" s="1"/>
      <c r="J119" s="1"/>
      <c r="K119" s="1"/>
      <c r="L119" s="1"/>
      <c r="M119" s="1"/>
      <c r="N119" s="10"/>
      <c r="O119" s="10"/>
      <c r="P119" s="1"/>
      <c r="Q119" s="1"/>
      <c r="R119" s="1"/>
      <c r="S119" s="1"/>
      <c r="T119" s="1"/>
      <c r="U119" s="10"/>
      <c r="V119" s="10"/>
      <c r="W119" s="1"/>
      <c r="X119" s="1"/>
      <c r="Y119" s="1"/>
      <c r="Z119" s="1"/>
      <c r="AA119" s="1"/>
      <c r="AB119" s="10"/>
      <c r="AC119" s="10"/>
      <c r="AD119" s="1"/>
      <c r="AE119" s="1"/>
      <c r="AF119" s="1"/>
      <c r="AG119" s="1"/>
      <c r="AH119" s="1"/>
      <c r="AI119" s="14"/>
      <c r="AL119" s="47"/>
      <c r="AM119" s="23"/>
      <c r="AN119" s="24"/>
    </row>
    <row r="120" spans="2:40" x14ac:dyDescent="0.2">
      <c r="E120" s="16"/>
      <c r="F120" s="1"/>
      <c r="G120" s="10"/>
      <c r="H120" s="10"/>
      <c r="I120" s="1"/>
      <c r="J120" s="1"/>
      <c r="K120" s="1"/>
      <c r="L120" s="1"/>
      <c r="M120" s="1"/>
      <c r="N120" s="10"/>
      <c r="O120" s="10"/>
      <c r="P120" s="1"/>
      <c r="Q120" s="1"/>
      <c r="R120" s="1"/>
      <c r="S120" s="1"/>
      <c r="T120" s="1"/>
      <c r="U120" s="10"/>
      <c r="V120" s="10"/>
      <c r="W120" s="1"/>
      <c r="X120" s="1"/>
      <c r="Y120" s="1"/>
      <c r="Z120" s="1"/>
      <c r="AA120" s="1"/>
      <c r="AB120" s="10"/>
      <c r="AC120" s="10"/>
      <c r="AD120" s="1"/>
      <c r="AE120" s="1"/>
      <c r="AF120" s="1"/>
      <c r="AG120" s="1"/>
      <c r="AH120" s="1"/>
      <c r="AI120" s="14"/>
      <c r="AL120" s="47"/>
      <c r="AM120" s="23"/>
      <c r="AN120" s="24"/>
    </row>
    <row r="121" spans="2:40" ht="15.75" thickBot="1" x14ac:dyDescent="0.25">
      <c r="E121" s="17"/>
      <c r="F121" s="7"/>
      <c r="G121" s="11"/>
      <c r="H121" s="11"/>
      <c r="I121" s="7"/>
      <c r="J121" s="7"/>
      <c r="K121" s="7"/>
      <c r="L121" s="7"/>
      <c r="M121" s="7"/>
      <c r="N121" s="11"/>
      <c r="O121" s="11"/>
      <c r="P121" s="7"/>
      <c r="Q121" s="7"/>
      <c r="R121" s="7"/>
      <c r="S121" s="7"/>
      <c r="T121" s="7"/>
      <c r="U121" s="11"/>
      <c r="V121" s="11"/>
      <c r="W121" s="7"/>
      <c r="X121" s="7"/>
      <c r="Y121" s="7"/>
      <c r="Z121" s="7"/>
      <c r="AA121" s="7"/>
      <c r="AB121" s="11"/>
      <c r="AC121" s="11"/>
      <c r="AD121" s="7"/>
      <c r="AE121" s="7"/>
      <c r="AF121" s="7"/>
      <c r="AG121" s="7"/>
      <c r="AH121" s="7"/>
      <c r="AI121" s="15"/>
      <c r="AL121" s="47"/>
      <c r="AM121" s="23"/>
      <c r="AN121" s="24"/>
    </row>
    <row r="132" spans="5:5" x14ac:dyDescent="0.2">
      <c r="E132" t="s">
        <v>20</v>
      </c>
    </row>
    <row r="133" spans="5:5" x14ac:dyDescent="0.2">
      <c r="E133" t="s">
        <v>21</v>
      </c>
    </row>
    <row r="134" spans="5:5" x14ac:dyDescent="0.2">
      <c r="E134" t="s">
        <v>22</v>
      </c>
    </row>
    <row r="135" spans="5:5" x14ac:dyDescent="0.2">
      <c r="E135" t="s">
        <v>23</v>
      </c>
    </row>
    <row r="136" spans="5:5" x14ac:dyDescent="0.2">
      <c r="E136" t="s">
        <v>24</v>
      </c>
    </row>
    <row r="137" spans="5:5" x14ac:dyDescent="0.2">
      <c r="E137" t="s">
        <v>25</v>
      </c>
    </row>
    <row r="138" spans="5:5" x14ac:dyDescent="0.2">
      <c r="E138" t="s">
        <v>26</v>
      </c>
    </row>
    <row r="139" spans="5:5" x14ac:dyDescent="0.2">
      <c r="E139" t="s">
        <v>27</v>
      </c>
    </row>
    <row r="140" spans="5:5" x14ac:dyDescent="0.2">
      <c r="E140" s="86" t="s">
        <v>28</v>
      </c>
    </row>
  </sheetData>
  <mergeCells count="72">
    <mergeCell ref="E117:AI117"/>
    <mergeCell ref="E99:AI99"/>
    <mergeCell ref="E105:AI105"/>
    <mergeCell ref="E111:AI111"/>
    <mergeCell ref="E87:AI87"/>
    <mergeCell ref="E89:AF89"/>
    <mergeCell ref="E93:AI93"/>
    <mergeCell ref="G53:K53"/>
    <mergeCell ref="N53:P53"/>
    <mergeCell ref="AE47:AG47"/>
    <mergeCell ref="E63:AI63"/>
    <mergeCell ref="BM64:CQ64"/>
    <mergeCell ref="E47:U47"/>
    <mergeCell ref="V47:AC47"/>
    <mergeCell ref="AB53:AF53"/>
    <mergeCell ref="E59:AB59"/>
    <mergeCell ref="AF59:AH59"/>
    <mergeCell ref="E33:AI33"/>
    <mergeCell ref="F35:AI35"/>
    <mergeCell ref="E39:AI39"/>
    <mergeCell ref="E41:AH41"/>
    <mergeCell ref="AH47:AI47"/>
    <mergeCell ref="B45:C115"/>
    <mergeCell ref="E45:AI45"/>
    <mergeCell ref="Q48:S48"/>
    <mergeCell ref="T48:U48"/>
    <mergeCell ref="X48:Y48"/>
    <mergeCell ref="E51:AI51"/>
    <mergeCell ref="D99:D103"/>
    <mergeCell ref="D93:D97"/>
    <mergeCell ref="D87:D91"/>
    <mergeCell ref="D81:D85"/>
    <mergeCell ref="D75:D79"/>
    <mergeCell ref="E57:AI57"/>
    <mergeCell ref="Q53:R53"/>
    <mergeCell ref="U53:W53"/>
    <mergeCell ref="X53:Y53"/>
    <mergeCell ref="D69:D73"/>
    <mergeCell ref="E29:G29"/>
    <mergeCell ref="H29:AG29"/>
    <mergeCell ref="E15:AI15"/>
    <mergeCell ref="F17:N17"/>
    <mergeCell ref="O17:AF17"/>
    <mergeCell ref="Z18:AF18"/>
    <mergeCell ref="E21:AI21"/>
    <mergeCell ref="E23:AI23"/>
    <mergeCell ref="E24:L24"/>
    <mergeCell ref="M24:X24"/>
    <mergeCell ref="AA24:AC24"/>
    <mergeCell ref="AD24:AF24"/>
    <mergeCell ref="E27:AI27"/>
    <mergeCell ref="Q13:S13"/>
    <mergeCell ref="E1:AI1"/>
    <mergeCell ref="E4:AI4"/>
    <mergeCell ref="E8:AI8"/>
    <mergeCell ref="E11:AB11"/>
    <mergeCell ref="AC11:AI11"/>
    <mergeCell ref="E65:AH65"/>
    <mergeCell ref="E69:AI69"/>
    <mergeCell ref="E81:AI81"/>
    <mergeCell ref="F95:AI95"/>
    <mergeCell ref="E101:AH101"/>
    <mergeCell ref="E77:H77"/>
    <mergeCell ref="H83:AI83"/>
    <mergeCell ref="E83:G83"/>
    <mergeCell ref="T71:X71"/>
    <mergeCell ref="AD71:AE71"/>
    <mergeCell ref="AA71:AC71"/>
    <mergeCell ref="P71:Q71"/>
    <mergeCell ref="F71:J71"/>
    <mergeCell ref="K77:AI77"/>
    <mergeCell ref="E75:AI75"/>
  </mergeCells>
  <pageMargins left="0.7" right="0.7" top="0.75" bottom="0.75" header="0.3" footer="0.3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F89B-7AA5-7F47-979F-BC8352620FBA}">
  <sheetPr>
    <pageSetUpPr fitToPage="1"/>
  </sheetPr>
  <dimension ref="A1:CQ140"/>
  <sheetViews>
    <sheetView topLeftCell="D47" zoomScale="80" zoomScaleNormal="80" workbookViewId="0">
      <selection activeCell="AN68" sqref="AN68"/>
    </sheetView>
  </sheetViews>
  <sheetFormatPr defaultRowHeight="15" x14ac:dyDescent="0.2"/>
  <cols>
    <col min="4" max="4" width="12.9140625" bestFit="1" customWidth="1"/>
    <col min="21" max="21" width="10.625" customWidth="1"/>
    <col min="36" max="36" width="15.19921875" style="114" customWidth="1"/>
    <col min="37" max="37" width="15.46875" style="114" customWidth="1"/>
    <col min="38" max="38" width="13.5859375" style="50" bestFit="1" customWidth="1"/>
    <col min="39" max="39" width="8.609375" style="114"/>
    <col min="40" max="40" width="8.609375" style="25"/>
  </cols>
  <sheetData>
    <row r="1" spans="5:40" x14ac:dyDescent="0.2">
      <c r="E1" s="194">
        <v>45992</v>
      </c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6"/>
      <c r="AL1" s="47">
        <v>68</v>
      </c>
      <c r="AM1" s="23"/>
      <c r="AN1" s="24"/>
    </row>
    <row r="2" spans="5:40" x14ac:dyDescent="0.2">
      <c r="E2" s="111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L2" s="47"/>
      <c r="AM2" s="23"/>
      <c r="AN2" s="24"/>
    </row>
    <row r="3" spans="5:40" x14ac:dyDescent="0.2">
      <c r="E3" s="30">
        <v>1</v>
      </c>
      <c r="F3" s="31">
        <v>2</v>
      </c>
      <c r="G3" s="31">
        <v>3</v>
      </c>
      <c r="H3" s="31">
        <v>4</v>
      </c>
      <c r="I3" s="31">
        <v>5</v>
      </c>
      <c r="J3" s="10">
        <v>6</v>
      </c>
      <c r="K3" s="10">
        <v>7</v>
      </c>
      <c r="L3" s="31">
        <v>8</v>
      </c>
      <c r="M3" s="31">
        <v>9</v>
      </c>
      <c r="N3" s="31">
        <v>10</v>
      </c>
      <c r="O3" s="31">
        <v>11</v>
      </c>
      <c r="P3" s="31">
        <v>12</v>
      </c>
      <c r="Q3" s="10">
        <v>13</v>
      </c>
      <c r="R3" s="10">
        <v>14</v>
      </c>
      <c r="S3" s="31">
        <v>15</v>
      </c>
      <c r="T3" s="31">
        <v>16</v>
      </c>
      <c r="U3" s="31">
        <v>17</v>
      </c>
      <c r="V3" s="31">
        <v>18</v>
      </c>
      <c r="W3" s="31">
        <v>19</v>
      </c>
      <c r="X3" s="10">
        <v>20</v>
      </c>
      <c r="Y3" s="10">
        <v>21</v>
      </c>
      <c r="Z3" s="31">
        <v>22</v>
      </c>
      <c r="AA3" s="31">
        <v>23</v>
      </c>
      <c r="AB3" s="31">
        <v>24</v>
      </c>
      <c r="AC3" s="31">
        <v>25</v>
      </c>
      <c r="AD3" s="31">
        <v>26</v>
      </c>
      <c r="AE3" s="10">
        <v>27</v>
      </c>
      <c r="AF3" s="10">
        <v>28</v>
      </c>
      <c r="AG3" s="31">
        <v>29</v>
      </c>
      <c r="AH3" s="31">
        <v>30</v>
      </c>
      <c r="AI3" s="34">
        <v>31</v>
      </c>
      <c r="AL3" s="47"/>
      <c r="AM3" s="23"/>
      <c r="AN3" s="24"/>
    </row>
    <row r="4" spans="5:40" x14ac:dyDescent="0.2">
      <c r="E4" s="223" t="s">
        <v>5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5"/>
      <c r="AL4" s="47"/>
      <c r="AM4" s="23"/>
      <c r="AN4" s="24"/>
    </row>
    <row r="5" spans="5:40" ht="15.75" thickBot="1" x14ac:dyDescent="0.25">
      <c r="E5" s="30"/>
      <c r="F5" s="31"/>
      <c r="G5" s="31"/>
      <c r="H5" s="31"/>
      <c r="I5" s="31"/>
      <c r="J5" s="10"/>
      <c r="K5" s="10"/>
      <c r="L5" s="31"/>
      <c r="M5" s="31"/>
      <c r="N5" s="31"/>
      <c r="O5" s="31"/>
      <c r="P5" s="31"/>
      <c r="Q5" s="10"/>
      <c r="R5" s="10"/>
      <c r="S5" s="31"/>
      <c r="T5" s="31"/>
      <c r="U5" s="31"/>
      <c r="V5" s="31"/>
      <c r="W5" s="31"/>
      <c r="X5" s="10"/>
      <c r="Y5" s="10"/>
      <c r="Z5" s="31"/>
      <c r="AA5" s="31"/>
      <c r="AB5" s="31"/>
      <c r="AC5" s="31"/>
      <c r="AD5" s="31"/>
      <c r="AE5" s="10"/>
      <c r="AF5" s="10"/>
      <c r="AG5" s="31"/>
      <c r="AH5" s="31"/>
      <c r="AI5" s="34"/>
      <c r="AL5" s="47"/>
      <c r="AM5" s="23"/>
      <c r="AN5" s="24"/>
    </row>
    <row r="6" spans="5:40" ht="15.75" thickBot="1" x14ac:dyDescent="0.25">
      <c r="E6" s="32"/>
      <c r="F6" s="33"/>
      <c r="G6" s="33"/>
      <c r="H6" s="33"/>
      <c r="I6" s="33"/>
      <c r="J6" s="11"/>
      <c r="K6" s="11"/>
      <c r="L6" s="33"/>
      <c r="M6" s="33"/>
      <c r="N6" s="33"/>
      <c r="O6" s="33"/>
      <c r="P6" s="33"/>
      <c r="Q6" s="11"/>
      <c r="R6" s="11"/>
      <c r="S6" s="33"/>
      <c r="T6" s="33"/>
      <c r="U6" s="33"/>
      <c r="V6" s="33"/>
      <c r="W6" s="33"/>
      <c r="X6" s="11"/>
      <c r="Y6" s="11"/>
      <c r="Z6" s="33"/>
      <c r="AA6" s="33"/>
      <c r="AB6" s="33"/>
      <c r="AC6" s="33"/>
      <c r="AD6" s="33"/>
      <c r="AE6" s="11"/>
      <c r="AF6" s="11"/>
      <c r="AG6" s="33"/>
      <c r="AH6" s="33"/>
      <c r="AI6" s="35"/>
      <c r="AL6" s="47"/>
      <c r="AM6" s="23"/>
      <c r="AN6" s="29">
        <v>0</v>
      </c>
    </row>
    <row r="7" spans="5:40" ht="15.75" thickBot="1" x14ac:dyDescent="0.25">
      <c r="AL7" s="47"/>
      <c r="AM7" s="23"/>
      <c r="AN7" s="24"/>
    </row>
    <row r="8" spans="5:40" x14ac:dyDescent="0.2">
      <c r="E8" s="194">
        <v>46023</v>
      </c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6"/>
      <c r="AL8" s="47">
        <f>SUM(AL1+2.5-AN6)</f>
        <v>70.5</v>
      </c>
      <c r="AM8" s="23"/>
      <c r="AN8" s="24"/>
    </row>
    <row r="9" spans="5:40" x14ac:dyDescent="0.2">
      <c r="E9" s="111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3"/>
      <c r="AL9" s="47"/>
      <c r="AM9" s="23"/>
      <c r="AN9" s="24"/>
    </row>
    <row r="10" spans="5:40" x14ac:dyDescent="0.2">
      <c r="E10" s="30">
        <v>1</v>
      </c>
      <c r="F10" s="31">
        <v>2</v>
      </c>
      <c r="G10" s="38">
        <v>3</v>
      </c>
      <c r="H10" s="38">
        <v>4</v>
      </c>
      <c r="I10" s="31">
        <v>5</v>
      </c>
      <c r="J10" s="31">
        <v>6</v>
      </c>
      <c r="K10" s="31">
        <v>7</v>
      </c>
      <c r="L10" s="31">
        <v>8</v>
      </c>
      <c r="M10" s="31">
        <v>9</v>
      </c>
      <c r="N10" s="38">
        <v>10</v>
      </c>
      <c r="O10" s="38">
        <v>11</v>
      </c>
      <c r="P10" s="31">
        <v>12</v>
      </c>
      <c r="Q10" s="31">
        <v>13</v>
      </c>
      <c r="R10" s="31">
        <v>14</v>
      </c>
      <c r="S10" s="31">
        <v>15</v>
      </c>
      <c r="T10" s="31">
        <v>16</v>
      </c>
      <c r="U10" s="38">
        <v>17</v>
      </c>
      <c r="V10" s="38">
        <v>18</v>
      </c>
      <c r="W10" s="31">
        <v>19</v>
      </c>
      <c r="X10" s="31">
        <v>20</v>
      </c>
      <c r="Y10" s="31">
        <v>21</v>
      </c>
      <c r="Z10" s="31">
        <v>22</v>
      </c>
      <c r="AA10" s="31">
        <v>23</v>
      </c>
      <c r="AB10" s="38">
        <v>24</v>
      </c>
      <c r="AC10" s="38">
        <v>25</v>
      </c>
      <c r="AD10" s="31">
        <v>26</v>
      </c>
      <c r="AE10" s="31">
        <v>27</v>
      </c>
      <c r="AF10" s="31">
        <v>28</v>
      </c>
      <c r="AG10" s="31">
        <v>29</v>
      </c>
      <c r="AH10" s="31">
        <v>30</v>
      </c>
      <c r="AI10" s="40">
        <v>31</v>
      </c>
      <c r="AL10" s="47"/>
      <c r="AM10" s="23"/>
      <c r="AN10" s="24"/>
    </row>
    <row r="11" spans="5:40" x14ac:dyDescent="0.2">
      <c r="E11" s="223" t="s">
        <v>5</v>
      </c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6"/>
      <c r="AC11" s="227" t="s">
        <v>37</v>
      </c>
      <c r="AD11" s="228"/>
      <c r="AE11" s="228"/>
      <c r="AF11" s="228"/>
      <c r="AG11" s="228"/>
      <c r="AH11" s="228"/>
      <c r="AI11" s="229"/>
      <c r="AL11" s="47"/>
      <c r="AM11" s="23"/>
      <c r="AN11" s="24"/>
    </row>
    <row r="12" spans="5:40" ht="15.75" thickBot="1" x14ac:dyDescent="0.25">
      <c r="E12" s="30"/>
      <c r="F12" s="31"/>
      <c r="G12" s="38"/>
      <c r="H12" s="38"/>
      <c r="I12" s="31"/>
      <c r="J12" s="31"/>
      <c r="K12" s="31"/>
      <c r="L12" s="31"/>
      <c r="M12" s="31"/>
      <c r="N12" s="38"/>
      <c r="O12" s="38"/>
      <c r="P12" s="31"/>
      <c r="Q12" s="31"/>
      <c r="R12" s="31"/>
      <c r="S12" s="31"/>
      <c r="T12" s="31"/>
      <c r="U12" s="38"/>
      <c r="V12" s="38"/>
      <c r="W12" s="31"/>
      <c r="X12" s="31"/>
      <c r="Y12" s="31"/>
      <c r="Z12" s="31"/>
      <c r="AA12" s="33"/>
      <c r="AB12" s="39"/>
      <c r="AC12" s="39"/>
      <c r="AD12" s="33"/>
      <c r="AE12" s="33"/>
      <c r="AF12" s="33"/>
      <c r="AG12" s="33"/>
      <c r="AH12" s="33"/>
      <c r="AI12" s="41"/>
      <c r="AL12" s="47"/>
      <c r="AM12" s="23"/>
      <c r="AN12" s="24"/>
    </row>
    <row r="13" spans="5:40" ht="15.75" thickBot="1" x14ac:dyDescent="0.25">
      <c r="E13" s="32"/>
      <c r="F13" s="33"/>
      <c r="G13" s="39"/>
      <c r="H13" s="39"/>
      <c r="I13" s="33"/>
      <c r="J13" s="33"/>
      <c r="K13" s="33"/>
      <c r="L13" s="33"/>
      <c r="M13" s="33"/>
      <c r="N13" s="39"/>
      <c r="O13" s="39"/>
      <c r="P13" s="45"/>
      <c r="Q13" s="221" t="s">
        <v>8</v>
      </c>
      <c r="R13" s="222"/>
      <c r="S13" s="222"/>
      <c r="T13" s="46"/>
      <c r="U13" s="39"/>
      <c r="V13" s="39"/>
      <c r="W13" s="33"/>
      <c r="X13" s="33"/>
      <c r="Y13" s="33"/>
      <c r="Z13" s="33"/>
      <c r="AA13" s="33"/>
      <c r="AB13" s="39"/>
      <c r="AC13" s="39"/>
      <c r="AD13" s="33"/>
      <c r="AE13" s="33"/>
      <c r="AF13" s="33"/>
      <c r="AG13" s="33"/>
      <c r="AH13" s="33"/>
      <c r="AI13" s="41"/>
      <c r="AL13" s="47"/>
      <c r="AM13" s="23"/>
      <c r="AN13" s="29">
        <v>7</v>
      </c>
    </row>
    <row r="14" spans="5:40" ht="15.75" thickBot="1" x14ac:dyDescent="0.25">
      <c r="AL14" s="47"/>
      <c r="AM14" s="23"/>
      <c r="AN14" s="24"/>
    </row>
    <row r="15" spans="5:40" x14ac:dyDescent="0.2">
      <c r="E15" s="194">
        <v>46054</v>
      </c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6"/>
      <c r="AL15" s="47">
        <f>SUM(AL8+2.5-AN13)</f>
        <v>66</v>
      </c>
      <c r="AM15" s="23"/>
      <c r="AN15" s="24"/>
    </row>
    <row r="16" spans="5:40" x14ac:dyDescent="0.2">
      <c r="E16" s="42">
        <v>1</v>
      </c>
      <c r="F16" s="1">
        <v>2</v>
      </c>
      <c r="G16" s="1">
        <v>3</v>
      </c>
      <c r="H16" s="1">
        <v>4</v>
      </c>
      <c r="I16" s="31">
        <v>5</v>
      </c>
      <c r="J16" s="31">
        <v>6</v>
      </c>
      <c r="K16" s="38">
        <v>7</v>
      </c>
      <c r="L16" s="38">
        <v>8</v>
      </c>
      <c r="M16" s="31">
        <v>9</v>
      </c>
      <c r="N16" s="31">
        <v>10</v>
      </c>
      <c r="O16" s="31">
        <v>11</v>
      </c>
      <c r="P16" s="31">
        <v>12</v>
      </c>
      <c r="Q16" s="31">
        <v>13</v>
      </c>
      <c r="R16" s="38">
        <v>14</v>
      </c>
      <c r="S16" s="38">
        <v>15</v>
      </c>
      <c r="T16" s="31">
        <v>16</v>
      </c>
      <c r="U16" s="31">
        <v>17</v>
      </c>
      <c r="V16" s="31">
        <v>18</v>
      </c>
      <c r="W16" s="31">
        <v>19</v>
      </c>
      <c r="X16" s="31">
        <v>20</v>
      </c>
      <c r="Y16" s="38">
        <v>21</v>
      </c>
      <c r="Z16" s="38">
        <v>22</v>
      </c>
      <c r="AA16" s="31">
        <v>23</v>
      </c>
      <c r="AB16" s="31">
        <v>24</v>
      </c>
      <c r="AC16" s="31">
        <v>25</v>
      </c>
      <c r="AD16" s="31">
        <v>26</v>
      </c>
      <c r="AE16" s="31">
        <v>27</v>
      </c>
      <c r="AF16" s="38">
        <v>28</v>
      </c>
      <c r="AG16" s="38">
        <v>29</v>
      </c>
      <c r="AH16" s="1"/>
      <c r="AI16" s="5"/>
      <c r="AL16" s="47"/>
      <c r="AM16" s="23"/>
      <c r="AN16" s="24"/>
    </row>
    <row r="17" spans="5:42" x14ac:dyDescent="0.2">
      <c r="E17" s="18"/>
      <c r="F17" s="233" t="s">
        <v>5</v>
      </c>
      <c r="G17" s="224"/>
      <c r="H17" s="224"/>
      <c r="I17" s="224"/>
      <c r="J17" s="224"/>
      <c r="K17" s="224"/>
      <c r="L17" s="224"/>
      <c r="M17" s="224"/>
      <c r="N17" s="226"/>
      <c r="O17" s="234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6"/>
      <c r="AG17" s="38"/>
      <c r="AH17" s="1"/>
      <c r="AI17" s="5"/>
      <c r="AL17" s="47"/>
      <c r="AM17" s="23"/>
      <c r="AN17" s="24"/>
    </row>
    <row r="18" spans="5:42" ht="15.75" thickBot="1" x14ac:dyDescent="0.25">
      <c r="E18" s="18" t="s">
        <v>4</v>
      </c>
      <c r="F18" s="1"/>
      <c r="G18" s="1"/>
      <c r="H18" s="1"/>
      <c r="I18" s="31"/>
      <c r="J18" s="31"/>
      <c r="K18" s="38"/>
      <c r="L18" s="38"/>
      <c r="M18" s="31"/>
      <c r="N18" s="31"/>
      <c r="O18" s="31"/>
      <c r="P18" s="31"/>
      <c r="Q18" s="31"/>
      <c r="R18" s="38"/>
      <c r="S18" s="38"/>
      <c r="T18" s="31"/>
      <c r="U18" s="31"/>
      <c r="V18" s="31"/>
      <c r="W18" s="31"/>
      <c r="X18" s="31"/>
      <c r="Y18" s="38"/>
      <c r="Z18" s="237" t="s">
        <v>7</v>
      </c>
      <c r="AA18" s="238"/>
      <c r="AB18" s="238"/>
      <c r="AC18" s="238"/>
      <c r="AD18" s="238"/>
      <c r="AE18" s="238"/>
      <c r="AF18" s="238"/>
      <c r="AG18" s="110"/>
      <c r="AH18" s="1"/>
      <c r="AI18" s="5"/>
      <c r="AL18" s="47"/>
      <c r="AM18" s="23"/>
      <c r="AN18" s="24"/>
    </row>
    <row r="19" spans="5:42" ht="15.75" thickBot="1" x14ac:dyDescent="0.25">
      <c r="E19" s="19"/>
      <c r="F19" s="7"/>
      <c r="G19" s="7"/>
      <c r="H19" s="7"/>
      <c r="I19" s="33"/>
      <c r="J19" s="33"/>
      <c r="K19" s="39"/>
      <c r="L19" s="39"/>
      <c r="M19" s="22" t="s">
        <v>9</v>
      </c>
      <c r="N19" s="33"/>
      <c r="O19" s="33"/>
      <c r="P19" s="33"/>
      <c r="Q19" s="33"/>
      <c r="R19" s="39"/>
      <c r="S19" s="39"/>
      <c r="T19" s="33"/>
      <c r="U19" s="33"/>
      <c r="V19" s="33"/>
      <c r="W19" s="33"/>
      <c r="X19" s="33"/>
      <c r="Y19" s="39"/>
      <c r="Z19" s="39"/>
      <c r="AA19" s="33"/>
      <c r="AB19" s="33"/>
      <c r="AC19" s="33"/>
      <c r="AD19" s="33"/>
      <c r="AE19" s="33"/>
      <c r="AF19" s="39"/>
      <c r="AG19" s="39"/>
      <c r="AH19" s="7"/>
      <c r="AI19" s="8"/>
      <c r="AL19" s="47"/>
      <c r="AM19" s="23"/>
      <c r="AN19" s="29">
        <v>1</v>
      </c>
    </row>
    <row r="20" spans="5:42" ht="15.75" thickBot="1" x14ac:dyDescent="0.25">
      <c r="AL20" s="47"/>
      <c r="AM20" s="23"/>
      <c r="AN20" s="28"/>
    </row>
    <row r="21" spans="5:42" x14ac:dyDescent="0.2">
      <c r="E21" s="194">
        <v>46082</v>
      </c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6"/>
      <c r="AK21" s="128" t="s">
        <v>0</v>
      </c>
      <c r="AL21" s="47">
        <f>SUM(AL15+2.5-AN19)</f>
        <v>67.5</v>
      </c>
      <c r="AM21" s="23"/>
      <c r="AN21" s="24"/>
    </row>
    <row r="22" spans="5:42" x14ac:dyDescent="0.2">
      <c r="E22" s="42">
        <v>1</v>
      </c>
      <c r="F22" s="1">
        <v>2</v>
      </c>
      <c r="G22" s="31">
        <v>3</v>
      </c>
      <c r="H22" s="31">
        <v>4</v>
      </c>
      <c r="I22" s="31">
        <v>5</v>
      </c>
      <c r="J22" s="31">
        <v>6</v>
      </c>
      <c r="K22" s="38">
        <v>7</v>
      </c>
      <c r="L22" s="38">
        <v>8</v>
      </c>
      <c r="M22" s="31">
        <v>9</v>
      </c>
      <c r="N22" s="31">
        <v>10</v>
      </c>
      <c r="O22" s="31">
        <v>11</v>
      </c>
      <c r="P22" s="31">
        <v>12</v>
      </c>
      <c r="Q22" s="31">
        <v>13</v>
      </c>
      <c r="R22" s="38">
        <v>14</v>
      </c>
      <c r="S22" s="38">
        <v>15</v>
      </c>
      <c r="T22" s="31">
        <v>16</v>
      </c>
      <c r="U22" s="31">
        <v>17</v>
      </c>
      <c r="V22" s="31">
        <v>18</v>
      </c>
      <c r="W22" s="31">
        <v>19</v>
      </c>
      <c r="X22" s="31">
        <v>20</v>
      </c>
      <c r="Y22" s="38">
        <v>21</v>
      </c>
      <c r="Z22" s="38">
        <v>22</v>
      </c>
      <c r="AA22" s="31">
        <v>23</v>
      </c>
      <c r="AB22" s="31">
        <v>24</v>
      </c>
      <c r="AC22" s="31">
        <v>25</v>
      </c>
      <c r="AD22" s="31">
        <v>26</v>
      </c>
      <c r="AE22" s="31">
        <v>27</v>
      </c>
      <c r="AF22" s="38">
        <v>28</v>
      </c>
      <c r="AG22" s="38">
        <v>29</v>
      </c>
      <c r="AH22" s="31">
        <v>30</v>
      </c>
      <c r="AI22" s="34">
        <v>31</v>
      </c>
      <c r="AK22" s="128"/>
      <c r="AL22" s="47"/>
      <c r="AM22" s="23"/>
      <c r="AN22" s="24"/>
    </row>
    <row r="23" spans="5:42" x14ac:dyDescent="0.2">
      <c r="E23" s="223" t="s">
        <v>5</v>
      </c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5"/>
      <c r="AK23" s="128"/>
      <c r="AL23" s="47"/>
      <c r="AM23" s="23"/>
      <c r="AN23" s="24"/>
    </row>
    <row r="24" spans="5:42" ht="15.75" thickBot="1" x14ac:dyDescent="0.25">
      <c r="E24" s="237" t="s">
        <v>6</v>
      </c>
      <c r="F24" s="239"/>
      <c r="G24" s="239"/>
      <c r="H24" s="239"/>
      <c r="I24" s="239"/>
      <c r="J24" s="239"/>
      <c r="K24" s="239"/>
      <c r="L24" s="240"/>
      <c r="M24" s="241" t="s">
        <v>10</v>
      </c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3"/>
      <c r="Y24" s="38"/>
      <c r="Z24" s="38"/>
      <c r="AA24" s="237" t="s">
        <v>13</v>
      </c>
      <c r="AB24" s="239"/>
      <c r="AC24" s="239"/>
      <c r="AD24" s="237" t="s">
        <v>14</v>
      </c>
      <c r="AE24" s="239"/>
      <c r="AF24" s="239"/>
      <c r="AG24" s="39"/>
      <c r="AH24" s="31"/>
      <c r="AI24" s="34"/>
      <c r="AK24" s="128"/>
      <c r="AL24" s="47"/>
      <c r="AM24" s="23"/>
      <c r="AN24" s="24"/>
    </row>
    <row r="25" spans="5:42" ht="15.75" thickBot="1" x14ac:dyDescent="0.25">
      <c r="E25" s="43"/>
      <c r="F25" s="7"/>
      <c r="G25" s="33"/>
      <c r="H25" s="33"/>
      <c r="I25" s="33"/>
      <c r="J25" s="33"/>
      <c r="K25" s="39"/>
      <c r="L25" s="39"/>
      <c r="M25" s="33"/>
      <c r="N25" s="33"/>
      <c r="O25" s="33"/>
      <c r="P25" s="33"/>
      <c r="Q25" s="33"/>
      <c r="R25" s="39"/>
      <c r="S25" s="39"/>
      <c r="T25" s="33"/>
      <c r="U25" s="33"/>
      <c r="V25" s="33"/>
      <c r="W25" s="33"/>
      <c r="X25" s="33"/>
      <c r="Y25" s="39"/>
      <c r="Z25" s="39"/>
      <c r="AA25" s="33"/>
      <c r="AB25" s="33"/>
      <c r="AC25" s="33"/>
      <c r="AD25" s="33"/>
      <c r="AE25" s="33"/>
      <c r="AF25" s="39"/>
      <c r="AG25" s="39"/>
      <c r="AH25" s="33"/>
      <c r="AI25" s="35"/>
      <c r="AK25" s="128"/>
      <c r="AL25" s="47"/>
      <c r="AM25" s="23"/>
      <c r="AN25" s="29">
        <v>0</v>
      </c>
    </row>
    <row r="26" spans="5:42" ht="30" thickBot="1" x14ac:dyDescent="0.45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K26" s="128"/>
      <c r="AL26" s="47"/>
      <c r="AM26" s="23"/>
      <c r="AN26" s="28"/>
      <c r="AP26" s="126" t="s">
        <v>42</v>
      </c>
    </row>
    <row r="27" spans="5:42" ht="30" thickBot="1" x14ac:dyDescent="0.45">
      <c r="E27" s="190">
        <v>46113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2"/>
      <c r="AH27" s="192"/>
      <c r="AI27" s="193"/>
      <c r="AK27" s="128" t="s">
        <v>50</v>
      </c>
      <c r="AL27" s="47">
        <v>69</v>
      </c>
      <c r="AM27" s="23"/>
      <c r="AN27" s="24"/>
      <c r="AP27" s="126">
        <v>23</v>
      </c>
    </row>
    <row r="28" spans="5:42" ht="29.25" x14ac:dyDescent="0.4">
      <c r="E28" s="36">
        <v>1</v>
      </c>
      <c r="F28" s="37">
        <v>2</v>
      </c>
      <c r="G28" s="37">
        <v>3</v>
      </c>
      <c r="H28" s="44">
        <v>4</v>
      </c>
      <c r="I28" s="44">
        <v>5</v>
      </c>
      <c r="J28" s="37">
        <v>6</v>
      </c>
      <c r="K28" s="37">
        <v>7</v>
      </c>
      <c r="L28" s="37">
        <v>8</v>
      </c>
      <c r="M28" s="37">
        <v>9</v>
      </c>
      <c r="N28" s="37">
        <v>10</v>
      </c>
      <c r="O28" s="44">
        <v>11</v>
      </c>
      <c r="P28" s="44">
        <v>12</v>
      </c>
      <c r="Q28" s="37">
        <v>13</v>
      </c>
      <c r="R28" s="37">
        <v>14</v>
      </c>
      <c r="S28" s="37">
        <v>15</v>
      </c>
      <c r="T28" s="37">
        <v>16</v>
      </c>
      <c r="U28" s="37">
        <v>17</v>
      </c>
      <c r="V28" s="44">
        <v>18</v>
      </c>
      <c r="W28" s="44">
        <v>19</v>
      </c>
      <c r="X28" s="37">
        <v>20</v>
      </c>
      <c r="Y28" s="37">
        <v>21</v>
      </c>
      <c r="Z28" s="37">
        <v>22</v>
      </c>
      <c r="AA28" s="37">
        <v>23</v>
      </c>
      <c r="AB28" s="37">
        <v>24</v>
      </c>
      <c r="AC28" s="44">
        <v>25</v>
      </c>
      <c r="AD28" s="44">
        <v>26</v>
      </c>
      <c r="AE28" s="37">
        <v>27</v>
      </c>
      <c r="AF28" s="37">
        <v>28</v>
      </c>
      <c r="AG28" s="37">
        <v>29</v>
      </c>
      <c r="AH28" s="2">
        <v>30</v>
      </c>
      <c r="AI28" s="3"/>
      <c r="AK28" s="128"/>
      <c r="AL28" s="47"/>
      <c r="AM28" s="23"/>
      <c r="AN28" s="24"/>
      <c r="AP28" s="126"/>
    </row>
    <row r="29" spans="5:42" ht="29.25" x14ac:dyDescent="0.4">
      <c r="E29" s="230" t="s">
        <v>19</v>
      </c>
      <c r="F29" s="231"/>
      <c r="G29" s="232"/>
      <c r="H29" s="223" t="s">
        <v>5</v>
      </c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157" t="s">
        <v>87</v>
      </c>
      <c r="AI29" s="71"/>
      <c r="AK29" s="128"/>
      <c r="AL29" s="47"/>
      <c r="AM29" s="23"/>
      <c r="AN29" s="24"/>
      <c r="AP29" s="126"/>
    </row>
    <row r="30" spans="5:42" ht="30" thickBot="1" x14ac:dyDescent="0.45">
      <c r="E30" s="30"/>
      <c r="F30" s="31"/>
      <c r="G30" s="31"/>
      <c r="H30" s="38"/>
      <c r="I30" s="38"/>
      <c r="J30" s="31"/>
      <c r="K30" s="31"/>
      <c r="L30" s="31"/>
      <c r="M30" s="31"/>
      <c r="N30" s="31"/>
      <c r="O30" s="38"/>
      <c r="P30" s="38"/>
      <c r="Q30" s="31"/>
      <c r="R30" s="31"/>
      <c r="S30" s="31"/>
      <c r="T30" s="31"/>
      <c r="U30" s="31"/>
      <c r="V30" s="38"/>
      <c r="W30" s="38"/>
      <c r="X30" s="33"/>
      <c r="Y30" s="33"/>
      <c r="Z30" s="33"/>
      <c r="AA30" s="33"/>
      <c r="AB30" s="33"/>
      <c r="AC30" s="39"/>
      <c r="AD30" s="39"/>
      <c r="AE30" s="33"/>
      <c r="AF30" s="33"/>
      <c r="AG30" s="33"/>
      <c r="AH30" s="7"/>
      <c r="AI30" s="8"/>
      <c r="AK30" s="128"/>
      <c r="AL30" s="47"/>
      <c r="AM30" s="23"/>
      <c r="AN30" s="24"/>
      <c r="AP30" s="126"/>
    </row>
    <row r="31" spans="5:42" ht="30" thickBot="1" x14ac:dyDescent="0.45">
      <c r="E31" s="32"/>
      <c r="F31" s="33"/>
      <c r="G31" s="33"/>
      <c r="H31" s="39"/>
      <c r="I31" s="39"/>
      <c r="J31" s="33"/>
      <c r="K31" s="33"/>
      <c r="L31" s="33"/>
      <c r="M31" s="33"/>
      <c r="N31" s="33"/>
      <c r="O31" s="39"/>
      <c r="P31" s="39"/>
      <c r="Q31" s="33"/>
      <c r="R31" s="33"/>
      <c r="S31" s="33"/>
      <c r="T31" s="33"/>
      <c r="U31" s="33"/>
      <c r="V31" s="39"/>
      <c r="W31" s="39"/>
      <c r="X31" s="33"/>
      <c r="Y31" s="33"/>
      <c r="Z31" s="33"/>
      <c r="AA31" s="33"/>
      <c r="AB31" s="33"/>
      <c r="AC31" s="39"/>
      <c r="AD31" s="39"/>
      <c r="AE31" s="33"/>
      <c r="AF31" s="33"/>
      <c r="AG31" s="33"/>
      <c r="AH31" s="7"/>
      <c r="AI31" s="8"/>
      <c r="AK31" s="128"/>
      <c r="AL31" s="47"/>
      <c r="AM31" s="23"/>
      <c r="AN31" s="29">
        <v>4</v>
      </c>
      <c r="AP31" s="126">
        <f>SUM(AP27-AN31)</f>
        <v>19</v>
      </c>
    </row>
    <row r="32" spans="5:42" ht="30" thickBot="1" x14ac:dyDescent="0.45">
      <c r="AK32" s="128"/>
      <c r="AL32" s="47"/>
      <c r="AM32" s="23"/>
      <c r="AN32" s="24"/>
      <c r="AP32" s="126"/>
    </row>
    <row r="33" spans="2:42" ht="29.25" x14ac:dyDescent="0.4">
      <c r="E33" s="194">
        <v>46143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6"/>
      <c r="AK33" s="128" t="s">
        <v>51</v>
      </c>
      <c r="AL33" s="47">
        <v>68</v>
      </c>
      <c r="AM33" s="23"/>
      <c r="AN33" s="24"/>
      <c r="AP33" s="126"/>
    </row>
    <row r="34" spans="2:42" ht="29.25" x14ac:dyDescent="0.4">
      <c r="E34" s="4">
        <v>1</v>
      </c>
      <c r="F34" s="38">
        <v>2</v>
      </c>
      <c r="G34" s="38">
        <v>3</v>
      </c>
      <c r="H34" s="31">
        <v>4</v>
      </c>
      <c r="I34" s="31">
        <v>5</v>
      </c>
      <c r="J34" s="31">
        <v>6</v>
      </c>
      <c r="K34" s="31">
        <v>7</v>
      </c>
      <c r="L34" s="31">
        <v>8</v>
      </c>
      <c r="M34" s="38">
        <v>9</v>
      </c>
      <c r="N34" s="38">
        <v>10</v>
      </c>
      <c r="O34" s="31">
        <v>11</v>
      </c>
      <c r="P34" s="31">
        <v>12</v>
      </c>
      <c r="Q34" s="31">
        <v>13</v>
      </c>
      <c r="R34" s="31">
        <v>14</v>
      </c>
      <c r="S34" s="31">
        <v>15</v>
      </c>
      <c r="T34" s="38">
        <v>16</v>
      </c>
      <c r="U34" s="38">
        <v>17</v>
      </c>
      <c r="V34" s="31">
        <v>18</v>
      </c>
      <c r="W34" s="31">
        <v>19</v>
      </c>
      <c r="X34" s="31">
        <v>20</v>
      </c>
      <c r="Y34" s="31">
        <v>21</v>
      </c>
      <c r="Z34" s="31">
        <v>22</v>
      </c>
      <c r="AA34" s="38">
        <v>23</v>
      </c>
      <c r="AB34" s="38">
        <v>24</v>
      </c>
      <c r="AC34" s="31">
        <v>25</v>
      </c>
      <c r="AD34" s="31">
        <v>26</v>
      </c>
      <c r="AE34" s="31">
        <v>27</v>
      </c>
      <c r="AF34" s="31">
        <v>28</v>
      </c>
      <c r="AG34" s="31">
        <v>29</v>
      </c>
      <c r="AH34" s="38">
        <v>30</v>
      </c>
      <c r="AI34" s="40">
        <v>31</v>
      </c>
      <c r="AK34" s="128"/>
      <c r="AL34" s="47"/>
      <c r="AM34" s="23"/>
      <c r="AN34" s="24"/>
      <c r="AP34" s="126"/>
    </row>
    <row r="35" spans="2:42" ht="29.25" x14ac:dyDescent="0.4">
      <c r="E35" s="158" t="s">
        <v>87</v>
      </c>
      <c r="F35" s="223" t="s">
        <v>5</v>
      </c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5"/>
      <c r="AK35" s="128"/>
      <c r="AL35" s="47"/>
      <c r="AM35" s="23"/>
      <c r="AN35" s="24"/>
      <c r="AP35" s="126"/>
    </row>
    <row r="36" spans="2:42" ht="30" thickBot="1" x14ac:dyDescent="0.45">
      <c r="E36" s="4"/>
      <c r="F36" s="38"/>
      <c r="G36" s="38"/>
      <c r="H36" s="31"/>
      <c r="I36" s="31"/>
      <c r="J36" s="31"/>
      <c r="K36" s="31"/>
      <c r="L36" s="31"/>
      <c r="M36" s="38"/>
      <c r="N36" s="38"/>
      <c r="O36" s="31"/>
      <c r="P36" s="31"/>
      <c r="Q36" s="31"/>
      <c r="R36" s="31"/>
      <c r="S36" s="31"/>
      <c r="T36" s="38"/>
      <c r="U36" s="38"/>
      <c r="V36" s="31"/>
      <c r="W36" s="31"/>
      <c r="X36" s="31"/>
      <c r="Y36" s="31"/>
      <c r="Z36" s="31"/>
      <c r="AA36" s="38"/>
      <c r="AB36" s="38"/>
      <c r="AC36" s="31"/>
      <c r="AD36" s="31"/>
      <c r="AE36" s="31"/>
      <c r="AF36" s="31"/>
      <c r="AG36" s="31"/>
      <c r="AH36" s="38"/>
      <c r="AI36" s="40"/>
      <c r="AK36" s="128"/>
      <c r="AL36" s="47"/>
      <c r="AM36" s="23"/>
      <c r="AN36" s="24"/>
      <c r="AP36" s="126"/>
    </row>
    <row r="37" spans="2:42" ht="30" thickBot="1" x14ac:dyDescent="0.45">
      <c r="E37" s="6"/>
      <c r="F37" s="39"/>
      <c r="G37" s="39"/>
      <c r="H37" s="33"/>
      <c r="I37" s="33"/>
      <c r="J37" s="33"/>
      <c r="K37" s="33"/>
      <c r="L37" s="33"/>
      <c r="M37" s="39"/>
      <c r="N37" s="39"/>
      <c r="O37" s="33"/>
      <c r="P37" s="33"/>
      <c r="Q37" s="33"/>
      <c r="R37" s="33"/>
      <c r="S37" s="33"/>
      <c r="T37" s="39"/>
      <c r="U37" s="39"/>
      <c r="V37" s="33"/>
      <c r="W37" s="33"/>
      <c r="X37" s="33"/>
      <c r="Y37" s="33"/>
      <c r="Z37" s="33"/>
      <c r="AA37" s="39"/>
      <c r="AB37" s="39"/>
      <c r="AC37" s="33"/>
      <c r="AD37" s="33"/>
      <c r="AE37" s="33"/>
      <c r="AF37" s="33"/>
      <c r="AG37" s="33"/>
      <c r="AH37" s="39"/>
      <c r="AI37" s="41"/>
      <c r="AK37" s="128"/>
      <c r="AL37" s="47"/>
      <c r="AM37" s="23"/>
      <c r="AN37" s="29">
        <v>1</v>
      </c>
      <c r="AP37" s="126">
        <f>SUM(AP31-AN37)</f>
        <v>18</v>
      </c>
    </row>
    <row r="38" spans="2:42" ht="30" thickBot="1" x14ac:dyDescent="0.4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K38" s="128"/>
      <c r="AL38" s="47"/>
      <c r="AM38" s="23"/>
      <c r="AN38" s="24"/>
      <c r="AP38" s="126"/>
    </row>
    <row r="39" spans="2:42" ht="30" thickBot="1" x14ac:dyDescent="0.45">
      <c r="E39" s="190">
        <v>46174</v>
      </c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2"/>
      <c r="AH39" s="192"/>
      <c r="AI39" s="193"/>
      <c r="AK39" s="128" t="s">
        <v>52</v>
      </c>
      <c r="AL39" s="47">
        <f>SUM(AL33+2.5-AN37)</f>
        <v>69.5</v>
      </c>
      <c r="AM39" s="23"/>
      <c r="AN39" s="24"/>
      <c r="AP39" s="126"/>
    </row>
    <row r="40" spans="2:42" ht="29.25" x14ac:dyDescent="0.4">
      <c r="E40" s="36">
        <v>1</v>
      </c>
      <c r="F40" s="37">
        <v>2</v>
      </c>
      <c r="G40" s="37">
        <v>3</v>
      </c>
      <c r="H40" s="37">
        <v>4</v>
      </c>
      <c r="I40" s="37">
        <v>5</v>
      </c>
      <c r="J40" s="44">
        <v>6</v>
      </c>
      <c r="K40" s="44">
        <v>7</v>
      </c>
      <c r="L40" s="37">
        <v>8</v>
      </c>
      <c r="M40" s="37">
        <v>9</v>
      </c>
      <c r="N40" s="37">
        <v>10</v>
      </c>
      <c r="O40" s="37">
        <v>11</v>
      </c>
      <c r="P40" s="37">
        <v>12</v>
      </c>
      <c r="Q40" s="44">
        <v>13</v>
      </c>
      <c r="R40" s="44">
        <v>14</v>
      </c>
      <c r="S40" s="37">
        <v>15</v>
      </c>
      <c r="T40" s="37">
        <v>16</v>
      </c>
      <c r="U40" s="37">
        <v>17</v>
      </c>
      <c r="V40" s="37">
        <v>18</v>
      </c>
      <c r="W40" s="37">
        <v>19</v>
      </c>
      <c r="X40" s="44">
        <v>20</v>
      </c>
      <c r="Y40" s="44">
        <v>21</v>
      </c>
      <c r="Z40" s="37">
        <v>22</v>
      </c>
      <c r="AA40" s="37">
        <v>23</v>
      </c>
      <c r="AB40" s="37">
        <v>24</v>
      </c>
      <c r="AC40" s="37">
        <v>25</v>
      </c>
      <c r="AD40" s="37">
        <v>26</v>
      </c>
      <c r="AE40" s="44">
        <v>27</v>
      </c>
      <c r="AF40" s="44">
        <v>28</v>
      </c>
      <c r="AG40" s="37">
        <v>29</v>
      </c>
      <c r="AH40" s="2">
        <v>30</v>
      </c>
      <c r="AI40" s="3"/>
      <c r="AK40" s="128"/>
      <c r="AL40" s="47"/>
      <c r="AM40" s="23"/>
      <c r="AN40" s="24"/>
      <c r="AP40" s="126"/>
    </row>
    <row r="41" spans="2:42" ht="29.25" x14ac:dyDescent="0.4">
      <c r="E41" s="223" t="s">
        <v>5</v>
      </c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6"/>
      <c r="AI41" s="5"/>
      <c r="AK41" s="128"/>
      <c r="AL41" s="47"/>
      <c r="AM41" s="23"/>
      <c r="AN41" s="24"/>
      <c r="AP41" s="126"/>
    </row>
    <row r="42" spans="2:42" ht="30" thickBot="1" x14ac:dyDescent="0.45">
      <c r="E42" s="30"/>
      <c r="F42" s="31"/>
      <c r="G42" s="31"/>
      <c r="H42" s="31"/>
      <c r="I42" s="31"/>
      <c r="J42" s="38"/>
      <c r="K42" s="38"/>
      <c r="L42" s="31"/>
      <c r="M42" s="31"/>
      <c r="N42" s="87" t="str">
        <f>(E140)</f>
        <v>VA Individual Appointments</v>
      </c>
      <c r="O42" s="31"/>
      <c r="P42" s="31"/>
      <c r="Q42" s="38"/>
      <c r="R42" s="38"/>
      <c r="S42" s="31"/>
      <c r="T42" s="31"/>
      <c r="U42" s="31"/>
      <c r="V42" s="31"/>
      <c r="W42" s="31"/>
      <c r="X42" s="38"/>
      <c r="Y42" s="38"/>
      <c r="Z42" s="31"/>
      <c r="AA42" s="31"/>
      <c r="AB42" s="31"/>
      <c r="AC42" s="31"/>
      <c r="AD42" s="31"/>
      <c r="AE42" s="38"/>
      <c r="AF42" s="38"/>
      <c r="AG42" s="31"/>
      <c r="AH42" s="1"/>
      <c r="AI42" s="5"/>
      <c r="AK42" s="128"/>
      <c r="AL42" s="47"/>
      <c r="AM42" s="23"/>
      <c r="AN42" s="24"/>
      <c r="AP42" s="126"/>
    </row>
    <row r="43" spans="2:42" ht="30" thickBot="1" x14ac:dyDescent="0.45">
      <c r="E43" s="32"/>
      <c r="F43" s="33"/>
      <c r="G43" s="33"/>
      <c r="H43" s="33"/>
      <c r="I43" s="33"/>
      <c r="J43" s="39"/>
      <c r="K43" s="39"/>
      <c r="L43" s="33"/>
      <c r="M43" s="33"/>
      <c r="N43" s="33"/>
      <c r="O43" s="33"/>
      <c r="P43" s="33"/>
      <c r="Q43" s="39"/>
      <c r="R43" s="39"/>
      <c r="S43" s="33"/>
      <c r="T43" s="33"/>
      <c r="U43" s="33"/>
      <c r="V43" s="33"/>
      <c r="W43" s="143" t="s">
        <v>91</v>
      </c>
      <c r="X43" s="127" t="s">
        <v>44</v>
      </c>
      <c r="Y43" s="39"/>
      <c r="Z43" s="33"/>
      <c r="AA43" s="33"/>
      <c r="AB43" s="33"/>
      <c r="AC43" s="33"/>
      <c r="AD43" s="33"/>
      <c r="AE43" s="39"/>
      <c r="AF43" s="39"/>
      <c r="AG43" s="33"/>
      <c r="AH43" s="7"/>
      <c r="AI43" s="8"/>
      <c r="AK43" s="128"/>
      <c r="AL43" s="47"/>
      <c r="AM43" s="23"/>
      <c r="AN43" s="29">
        <v>0</v>
      </c>
      <c r="AP43" s="126">
        <f>SUM(AP37-AN43)</f>
        <v>18</v>
      </c>
    </row>
    <row r="44" spans="2:42" ht="30" thickBot="1" x14ac:dyDescent="0.45"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6"/>
      <c r="AK44" s="106"/>
      <c r="AL44" s="107"/>
      <c r="AM44" s="108"/>
      <c r="AN44" s="109"/>
      <c r="AP44" s="126"/>
    </row>
    <row r="45" spans="2:42" ht="29.25" x14ac:dyDescent="0.4">
      <c r="B45" s="244" t="s">
        <v>40</v>
      </c>
      <c r="C45" s="244"/>
      <c r="D45" s="181"/>
      <c r="E45" s="194">
        <v>46204</v>
      </c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6"/>
      <c r="AK45" s="128" t="s">
        <v>53</v>
      </c>
      <c r="AL45" s="47">
        <f>SUM(AL39+2.5-AN43)</f>
        <v>72</v>
      </c>
      <c r="AM45" s="23"/>
      <c r="AN45" s="24"/>
      <c r="AP45" s="126"/>
    </row>
    <row r="46" spans="2:42" ht="29.25" x14ac:dyDescent="0.4">
      <c r="B46" s="244"/>
      <c r="C46" s="244"/>
      <c r="D46" s="181"/>
      <c r="E46" s="4">
        <v>1</v>
      </c>
      <c r="F46" s="1">
        <v>2</v>
      </c>
      <c r="G46" s="1">
        <v>3</v>
      </c>
      <c r="H46" s="10">
        <v>4</v>
      </c>
      <c r="I46" s="10">
        <v>5</v>
      </c>
      <c r="J46" s="1">
        <v>6</v>
      </c>
      <c r="K46" s="1">
        <v>7</v>
      </c>
      <c r="L46" s="1">
        <v>8</v>
      </c>
      <c r="M46" s="1">
        <v>9</v>
      </c>
      <c r="N46" s="1">
        <v>10</v>
      </c>
      <c r="O46" s="10">
        <v>11</v>
      </c>
      <c r="P46" s="10">
        <v>12</v>
      </c>
      <c r="Q46" s="1">
        <v>13</v>
      </c>
      <c r="R46" s="1">
        <v>14</v>
      </c>
      <c r="S46" s="1">
        <v>15</v>
      </c>
      <c r="T46" s="1">
        <v>16</v>
      </c>
      <c r="U46" s="1">
        <v>17</v>
      </c>
      <c r="V46" s="10">
        <v>18</v>
      </c>
      <c r="W46" s="10">
        <v>19</v>
      </c>
      <c r="X46" s="1">
        <v>20</v>
      </c>
      <c r="Y46" s="1">
        <v>21</v>
      </c>
      <c r="Z46" s="1">
        <v>22</v>
      </c>
      <c r="AA46" s="1">
        <v>23</v>
      </c>
      <c r="AB46" s="1">
        <v>24</v>
      </c>
      <c r="AC46" s="10">
        <v>25</v>
      </c>
      <c r="AD46" s="10">
        <v>26</v>
      </c>
      <c r="AE46" s="1">
        <v>27</v>
      </c>
      <c r="AF46" s="1">
        <v>28</v>
      </c>
      <c r="AG46" s="1">
        <v>29</v>
      </c>
      <c r="AH46" s="1">
        <v>30</v>
      </c>
      <c r="AI46" s="5">
        <v>31</v>
      </c>
      <c r="AK46" s="128"/>
      <c r="AL46" s="47"/>
      <c r="AM46" s="23"/>
      <c r="AN46" s="24"/>
      <c r="AP46" s="126"/>
    </row>
    <row r="47" spans="2:42" ht="29.25" x14ac:dyDescent="0.4">
      <c r="B47" s="244"/>
      <c r="C47" s="244"/>
      <c r="D47" s="181"/>
      <c r="E47" s="101" t="s">
        <v>5</v>
      </c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231" t="s">
        <v>198</v>
      </c>
      <c r="W47" s="231"/>
      <c r="X47" s="231"/>
      <c r="Y47" s="231"/>
      <c r="Z47" s="231"/>
      <c r="AA47" s="231"/>
      <c r="AB47" s="231"/>
      <c r="AC47" s="231"/>
      <c r="AD47" s="184"/>
      <c r="AE47" s="184"/>
      <c r="AF47" s="184"/>
      <c r="AG47" s="184"/>
      <c r="AH47" s="184"/>
      <c r="AI47" s="185"/>
      <c r="AK47" s="128"/>
      <c r="AL47" s="47"/>
      <c r="AM47" s="23"/>
      <c r="AN47" s="24"/>
      <c r="AP47" s="126"/>
    </row>
    <row r="48" spans="2:42" ht="30" thickBot="1" x14ac:dyDescent="0.45">
      <c r="B48" s="244"/>
      <c r="C48" s="244"/>
      <c r="D48" s="181"/>
      <c r="E48" s="4"/>
      <c r="F48" s="1"/>
      <c r="G48" s="1"/>
      <c r="H48" s="10"/>
      <c r="I48" s="10"/>
      <c r="J48" s="1"/>
      <c r="K48" s="90" t="str">
        <f>(E133)</f>
        <v>Pre Separation Brief</v>
      </c>
      <c r="L48" s="1"/>
      <c r="M48" s="1"/>
      <c r="N48" s="1"/>
      <c r="O48" s="10"/>
      <c r="P48" s="10"/>
      <c r="Q48" s="245" t="str">
        <f>(E134)</f>
        <v>Three-Day Transition Workshop</v>
      </c>
      <c r="R48" s="246"/>
      <c r="S48" s="247"/>
      <c r="T48" s="248" t="str">
        <f>(E137)</f>
        <v>Employment 2 Day Seminar</v>
      </c>
      <c r="U48" s="249"/>
      <c r="V48" s="10"/>
      <c r="W48" s="10"/>
      <c r="X48" s="250" t="str">
        <f>(E135)</f>
        <v>Entrepreneurship 2-Day Seminar</v>
      </c>
      <c r="Y48" s="251"/>
      <c r="Z48" s="1"/>
      <c r="AA48" s="1"/>
      <c r="AB48" s="1"/>
      <c r="AC48" s="10"/>
      <c r="AD48" s="10"/>
      <c r="AE48" s="1"/>
      <c r="AF48" s="90" t="str">
        <f>(E133)</f>
        <v>Pre Separation Brief</v>
      </c>
      <c r="AG48" s="1"/>
      <c r="AH48" s="259" t="str">
        <f>(E136)</f>
        <v>Career &amp; Credential Exploration 2 Day Seminar</v>
      </c>
      <c r="AI48" s="260"/>
      <c r="AK48" s="128"/>
      <c r="AL48" s="47"/>
      <c r="AM48" s="23"/>
      <c r="AN48" s="24"/>
      <c r="AP48" s="126"/>
    </row>
    <row r="49" spans="2:95" ht="30" thickBot="1" x14ac:dyDescent="0.45">
      <c r="B49" s="244"/>
      <c r="C49" s="244"/>
      <c r="D49" s="181"/>
      <c r="E49" s="6"/>
      <c r="F49" s="149" t="s">
        <v>104</v>
      </c>
      <c r="G49" s="22" t="s">
        <v>3</v>
      </c>
      <c r="H49" s="11"/>
      <c r="I49" s="11"/>
      <c r="J49" s="7"/>
      <c r="K49" s="7"/>
      <c r="L49" s="7"/>
      <c r="M49" s="7"/>
      <c r="N49" s="7"/>
      <c r="O49" s="11"/>
      <c r="P49" s="11"/>
      <c r="Q49" s="66" t="s">
        <v>109</v>
      </c>
      <c r="R49" s="7"/>
      <c r="S49" s="87" t="str">
        <f>(E140)</f>
        <v>VA Individual Appointments</v>
      </c>
      <c r="T49" s="76"/>
      <c r="U49" s="77"/>
      <c r="V49" s="11"/>
      <c r="W49" s="11"/>
      <c r="X49" s="7"/>
      <c r="Y49" s="7"/>
      <c r="Z49" s="7"/>
      <c r="AA49" s="7"/>
      <c r="AB49" s="7"/>
      <c r="AC49" s="11"/>
      <c r="AD49" s="11"/>
      <c r="AE49" s="161"/>
      <c r="AF49" s="7"/>
      <c r="AG49" s="7"/>
      <c r="AH49" s="7"/>
      <c r="AI49" s="66" t="s">
        <v>15</v>
      </c>
      <c r="AK49" s="128"/>
      <c r="AL49" s="47"/>
      <c r="AM49" s="23"/>
      <c r="AN49" s="29">
        <v>8</v>
      </c>
      <c r="AP49" s="126">
        <f>SUM(AP43-AN49)</f>
        <v>10</v>
      </c>
    </row>
    <row r="50" spans="2:95" ht="30" thickBot="1" x14ac:dyDescent="0.45">
      <c r="B50" s="244"/>
      <c r="C50" s="244"/>
      <c r="D50" s="181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7"/>
      <c r="AP50" s="126"/>
    </row>
    <row r="51" spans="2:95" ht="29.25" x14ac:dyDescent="0.4">
      <c r="B51" s="244"/>
      <c r="C51" s="244"/>
      <c r="D51" s="181"/>
      <c r="E51" s="194">
        <v>46235</v>
      </c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6"/>
      <c r="AK51" s="128" t="s">
        <v>54</v>
      </c>
      <c r="AL51" s="47">
        <f>SUM(AL45+2.5-AN49)</f>
        <v>66.5</v>
      </c>
      <c r="AM51" s="23"/>
      <c r="AN51" s="24"/>
      <c r="AP51" s="126"/>
    </row>
    <row r="52" spans="2:95" ht="29.25" x14ac:dyDescent="0.4">
      <c r="B52" s="244"/>
      <c r="C52" s="244"/>
      <c r="D52" s="181"/>
      <c r="E52" s="12">
        <v>1</v>
      </c>
      <c r="F52" s="10">
        <v>2</v>
      </c>
      <c r="G52" s="1">
        <v>3</v>
      </c>
      <c r="H52" s="1">
        <v>4</v>
      </c>
      <c r="I52" s="1">
        <v>5</v>
      </c>
      <c r="J52" s="1">
        <v>6</v>
      </c>
      <c r="K52" s="1">
        <v>7</v>
      </c>
      <c r="L52" s="10">
        <v>8</v>
      </c>
      <c r="M52" s="10">
        <v>9</v>
      </c>
      <c r="N52" s="1">
        <v>10</v>
      </c>
      <c r="O52" s="1">
        <v>11</v>
      </c>
      <c r="P52" s="1">
        <v>12</v>
      </c>
      <c r="Q52" s="1">
        <v>13</v>
      </c>
      <c r="R52" s="1">
        <v>14</v>
      </c>
      <c r="S52" s="10">
        <v>15</v>
      </c>
      <c r="T52" s="10">
        <v>16</v>
      </c>
      <c r="U52" s="1">
        <v>17</v>
      </c>
      <c r="V52" s="1">
        <v>18</v>
      </c>
      <c r="W52" s="1">
        <v>19</v>
      </c>
      <c r="X52" s="1">
        <v>20</v>
      </c>
      <c r="Y52" s="1">
        <v>21</v>
      </c>
      <c r="Z52" s="10">
        <v>22</v>
      </c>
      <c r="AA52" s="10">
        <v>23</v>
      </c>
      <c r="AB52" s="1">
        <v>24</v>
      </c>
      <c r="AC52" s="1">
        <v>25</v>
      </c>
      <c r="AD52" s="1">
        <v>26</v>
      </c>
      <c r="AE52" s="1">
        <v>27</v>
      </c>
      <c r="AF52" s="1">
        <v>28</v>
      </c>
      <c r="AG52" s="10">
        <v>29</v>
      </c>
      <c r="AH52" s="10">
        <v>30</v>
      </c>
      <c r="AI52" s="5">
        <v>31</v>
      </c>
      <c r="AJ52" s="56"/>
      <c r="AK52" s="56"/>
      <c r="AL52" s="47"/>
      <c r="AM52" s="23"/>
      <c r="AN52" s="24"/>
      <c r="AP52" s="126"/>
    </row>
    <row r="53" spans="2:95" ht="30" thickBot="1" x14ac:dyDescent="0.45">
      <c r="B53" s="244"/>
      <c r="C53" s="244"/>
      <c r="D53" s="181"/>
      <c r="E53" s="273" t="s">
        <v>31</v>
      </c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144" t="s">
        <v>195</v>
      </c>
      <c r="AJ53" s="163"/>
      <c r="AK53" s="128"/>
      <c r="AL53" s="47"/>
      <c r="AM53" s="23"/>
      <c r="AN53" s="24"/>
      <c r="AP53" s="126"/>
    </row>
    <row r="54" spans="2:95" ht="30" thickBot="1" x14ac:dyDescent="0.45">
      <c r="B54" s="244"/>
      <c r="C54" s="244"/>
      <c r="D54" s="181"/>
      <c r="E54" s="12"/>
      <c r="F54" s="10"/>
      <c r="G54" s="1"/>
      <c r="H54" s="90" t="str">
        <f>(E133)</f>
        <v>Pre Separation Brief</v>
      </c>
      <c r="I54" s="1"/>
      <c r="J54" s="1"/>
      <c r="K54" s="1"/>
      <c r="L54" s="10"/>
      <c r="M54" s="10"/>
      <c r="N54" s="1"/>
      <c r="O54" s="90" t="str">
        <f>(E133)</f>
        <v>Pre Separation Brief</v>
      </c>
      <c r="P54" s="1"/>
      <c r="Q54" s="253" t="str">
        <f>(E138)</f>
        <v>Education  2 Day Seminar</v>
      </c>
      <c r="R54" s="254"/>
      <c r="S54" s="10"/>
      <c r="T54" s="75"/>
      <c r="U54" s="255" t="str">
        <f>(E134)</f>
        <v>Three-Day Transition Workshop</v>
      </c>
      <c r="V54" s="256"/>
      <c r="W54" s="256"/>
      <c r="X54" s="257" t="str">
        <f>(E137)</f>
        <v>Employment 2 Day Seminar</v>
      </c>
      <c r="Y54" s="258"/>
      <c r="Z54" s="74"/>
      <c r="AA54" s="10"/>
      <c r="AB54" s="1"/>
      <c r="AC54" s="1"/>
      <c r="AD54" s="1"/>
      <c r="AE54" s="1"/>
      <c r="AF54" s="1"/>
      <c r="AG54" s="10"/>
      <c r="AH54" s="10"/>
      <c r="AI54" s="5"/>
      <c r="AJ54" s="163"/>
      <c r="AK54" s="128"/>
      <c r="AL54" s="47"/>
      <c r="AM54" s="23"/>
      <c r="AN54" s="24"/>
      <c r="AP54" s="126"/>
    </row>
    <row r="55" spans="2:95" ht="30" thickBot="1" x14ac:dyDescent="0.45">
      <c r="B55" s="244"/>
      <c r="C55" s="244"/>
      <c r="D55" s="181"/>
      <c r="E55" s="13"/>
      <c r="F55" s="11"/>
      <c r="G55" s="7"/>
      <c r="H55" s="7"/>
      <c r="I55" s="7"/>
      <c r="J55" s="7"/>
      <c r="K55" s="7"/>
      <c r="L55" s="11"/>
      <c r="M55" s="301" t="s">
        <v>106</v>
      </c>
      <c r="N55" s="302"/>
      <c r="O55" s="302"/>
      <c r="P55" s="302"/>
      <c r="Q55" s="302"/>
      <c r="R55" s="302"/>
      <c r="S55" s="303"/>
      <c r="T55" s="11"/>
      <c r="U55" s="73"/>
      <c r="V55" s="73"/>
      <c r="W55" s="87" t="str">
        <f>(E140)</f>
        <v>VA Individual Appointments</v>
      </c>
      <c r="X55" s="73"/>
      <c r="Y55" s="73"/>
      <c r="Z55" s="11"/>
      <c r="AA55" s="11"/>
      <c r="AB55" s="7"/>
      <c r="AC55" s="7"/>
      <c r="AD55" s="7"/>
      <c r="AE55" s="7"/>
      <c r="AF55" s="7"/>
      <c r="AG55" s="11"/>
      <c r="AH55" s="11"/>
      <c r="AI55" s="8"/>
      <c r="AJ55" s="163"/>
      <c r="AK55" s="128"/>
      <c r="AL55" s="47"/>
      <c r="AM55" s="23"/>
      <c r="AN55" s="29">
        <v>1</v>
      </c>
      <c r="AP55" s="126">
        <f>SUM(AP49-AN55)</f>
        <v>9</v>
      </c>
    </row>
    <row r="56" spans="2:95" ht="30" thickBot="1" x14ac:dyDescent="0.45">
      <c r="B56" s="244"/>
      <c r="C56" s="244"/>
      <c r="D56" s="181"/>
      <c r="AJ56" s="163"/>
      <c r="AK56" s="128"/>
      <c r="AL56" s="47"/>
      <c r="AM56" s="23"/>
      <c r="AN56" s="24"/>
      <c r="AP56" s="126"/>
    </row>
    <row r="57" spans="2:95" ht="29.25" x14ac:dyDescent="0.4">
      <c r="B57" s="244"/>
      <c r="C57" s="244"/>
      <c r="D57" s="181"/>
      <c r="E57" s="194">
        <v>46266</v>
      </c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6"/>
      <c r="AK57" s="128" t="s">
        <v>55</v>
      </c>
      <c r="AL57" s="47">
        <f>SUM(AL51+2.5-AN55)</f>
        <v>68</v>
      </c>
      <c r="AM57" s="23"/>
      <c r="AN57" s="24"/>
      <c r="AP57" s="126"/>
    </row>
    <row r="58" spans="2:95" ht="29.25" x14ac:dyDescent="0.4">
      <c r="B58" s="244"/>
      <c r="C58" s="244"/>
      <c r="D58" s="181"/>
      <c r="E58" s="4">
        <v>1</v>
      </c>
      <c r="F58" s="1">
        <v>2</v>
      </c>
      <c r="G58" s="1">
        <v>3</v>
      </c>
      <c r="H58" s="1">
        <v>4</v>
      </c>
      <c r="I58" s="10">
        <v>5</v>
      </c>
      <c r="J58" s="10">
        <v>6</v>
      </c>
      <c r="K58" s="1">
        <v>7</v>
      </c>
      <c r="L58" s="1">
        <v>8</v>
      </c>
      <c r="M58" s="1">
        <v>9</v>
      </c>
      <c r="N58" s="1">
        <v>10</v>
      </c>
      <c r="O58" s="1">
        <v>11</v>
      </c>
      <c r="P58" s="10">
        <v>12</v>
      </c>
      <c r="Q58" s="10">
        <v>13</v>
      </c>
      <c r="R58" s="1">
        <v>14</v>
      </c>
      <c r="S58" s="1">
        <v>15</v>
      </c>
      <c r="T58" s="1">
        <v>16</v>
      </c>
      <c r="U58" s="1">
        <v>17</v>
      </c>
      <c r="V58" s="1">
        <v>18</v>
      </c>
      <c r="W58" s="10">
        <v>19</v>
      </c>
      <c r="X58" s="10">
        <v>20</v>
      </c>
      <c r="Y58" s="1">
        <v>21</v>
      </c>
      <c r="Z58" s="1">
        <v>22</v>
      </c>
      <c r="AA58" s="1">
        <v>23</v>
      </c>
      <c r="AB58" s="1">
        <v>24</v>
      </c>
      <c r="AC58" s="1">
        <v>25</v>
      </c>
      <c r="AD58" s="10">
        <v>26</v>
      </c>
      <c r="AE58" s="10">
        <v>27</v>
      </c>
      <c r="AF58" s="1">
        <v>28</v>
      </c>
      <c r="AG58" s="1">
        <v>29</v>
      </c>
      <c r="AH58" s="1">
        <v>30</v>
      </c>
      <c r="AI58" s="5"/>
      <c r="AK58" s="128"/>
      <c r="AL58" s="47"/>
      <c r="AM58" s="23"/>
      <c r="AN58" s="24"/>
      <c r="AP58" s="126"/>
    </row>
    <row r="59" spans="2:95" ht="29.25" x14ac:dyDescent="0.4">
      <c r="B59" s="244"/>
      <c r="C59" s="244"/>
      <c r="D59" s="181"/>
      <c r="E59" s="263" t="s">
        <v>194</v>
      </c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85"/>
      <c r="AE59" s="85"/>
      <c r="AF59" s="264" t="s">
        <v>197</v>
      </c>
      <c r="AG59" s="265"/>
      <c r="AH59" s="266"/>
      <c r="AI59" s="5"/>
      <c r="AJ59" s="114">
        <v>13</v>
      </c>
      <c r="AK59" s="128"/>
      <c r="AL59" s="47"/>
      <c r="AM59" s="23"/>
      <c r="AN59" s="24"/>
      <c r="AP59" s="126"/>
    </row>
    <row r="60" spans="2:95" ht="30" thickBot="1" x14ac:dyDescent="0.45">
      <c r="B60" s="244"/>
      <c r="C60" s="244"/>
      <c r="D60" s="181"/>
      <c r="E60" s="78"/>
      <c r="F60" s="78"/>
      <c r="G60" s="78"/>
      <c r="H60" s="78"/>
      <c r="I60" s="80"/>
      <c r="J60" s="80"/>
      <c r="K60" s="78"/>
      <c r="L60" s="95" t="str">
        <f>(E132)</f>
        <v>Initial Individual Counseling</v>
      </c>
      <c r="M60" s="96"/>
      <c r="N60" s="99"/>
      <c r="O60" s="99"/>
      <c r="P60" s="97"/>
      <c r="Q60" s="85"/>
      <c r="R60" s="288" t="str">
        <f>(E134)</f>
        <v>Three-Day Transition Workshop</v>
      </c>
      <c r="S60" s="289"/>
      <c r="T60" s="290"/>
      <c r="U60" s="304" t="str">
        <f>(E136)</f>
        <v>Career &amp; Credential Exploration 2 Day Seminar</v>
      </c>
      <c r="V60" s="305"/>
      <c r="W60" s="85"/>
      <c r="X60" s="85"/>
      <c r="Y60" s="84"/>
      <c r="Z60" s="84"/>
      <c r="AA60" s="84"/>
      <c r="AB60" s="84"/>
      <c r="AC60" s="84"/>
      <c r="AD60" s="85"/>
      <c r="AE60" s="85"/>
      <c r="AF60" s="84"/>
      <c r="AG60" s="95" t="str">
        <f>(E132)</f>
        <v>Initial Individual Counseling</v>
      </c>
      <c r="AH60" s="84"/>
      <c r="AI60" s="147"/>
      <c r="AK60" s="128"/>
      <c r="AL60" s="47"/>
      <c r="AM60" s="23"/>
      <c r="AN60" s="27"/>
      <c r="AP60" s="126"/>
    </row>
    <row r="61" spans="2:95" ht="30" thickBot="1" x14ac:dyDescent="0.45">
      <c r="B61" s="244"/>
      <c r="C61" s="244"/>
      <c r="D61" s="181"/>
      <c r="E61" s="72"/>
      <c r="F61" s="73"/>
      <c r="G61" s="73"/>
      <c r="H61" s="73"/>
      <c r="I61" s="79"/>
      <c r="J61" s="79"/>
      <c r="K61" s="142" t="s">
        <v>83</v>
      </c>
      <c r="L61" s="81"/>
      <c r="M61" s="81"/>
      <c r="N61" s="98"/>
      <c r="O61" s="98"/>
      <c r="P61" s="82"/>
      <c r="Q61" s="82"/>
      <c r="R61" s="81"/>
      <c r="S61" s="81"/>
      <c r="T61" s="88" t="str">
        <f>(E140)</f>
        <v>VA Individual Appointments</v>
      </c>
      <c r="U61" s="81"/>
      <c r="V61" s="81"/>
      <c r="W61" s="82"/>
      <c r="X61" s="82"/>
      <c r="Y61" s="81"/>
      <c r="Z61" s="81"/>
      <c r="AA61" s="81"/>
      <c r="AB61" s="81"/>
      <c r="AC61" s="81"/>
      <c r="AD61" s="82"/>
      <c r="AE61" s="82"/>
      <c r="AF61" s="81"/>
      <c r="AG61" s="81"/>
      <c r="AH61" s="81"/>
      <c r="AI61" s="83"/>
      <c r="AK61" s="128"/>
      <c r="AL61" s="47"/>
      <c r="AM61" s="26"/>
      <c r="AN61" s="29">
        <v>25</v>
      </c>
      <c r="AP61" s="126">
        <f>SUM(AP55-AN61)</f>
        <v>-16</v>
      </c>
    </row>
    <row r="62" spans="2:95" ht="15.75" thickBot="1" x14ac:dyDescent="0.25">
      <c r="B62" s="244"/>
      <c r="C62" s="244"/>
      <c r="D62" s="181"/>
      <c r="AK62" s="128"/>
      <c r="AL62" s="47"/>
      <c r="AM62" s="23"/>
      <c r="AN62" s="28"/>
    </row>
    <row r="63" spans="2:95" x14ac:dyDescent="0.2">
      <c r="B63" s="244"/>
      <c r="C63" s="244"/>
      <c r="D63" s="181"/>
      <c r="E63" s="194">
        <v>46296</v>
      </c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6"/>
      <c r="AK63" s="128" t="s">
        <v>56</v>
      </c>
      <c r="AL63" s="47">
        <f>SUM(AL57+2.5-AN61)</f>
        <v>45.5</v>
      </c>
      <c r="AM63" s="23"/>
      <c r="AN63" s="24"/>
    </row>
    <row r="64" spans="2:95" x14ac:dyDescent="0.2">
      <c r="B64" s="244"/>
      <c r="C64" s="244"/>
      <c r="D64" s="181"/>
      <c r="E64" s="4">
        <v>1</v>
      </c>
      <c r="F64" s="1">
        <v>2</v>
      </c>
      <c r="G64" s="10">
        <v>3</v>
      </c>
      <c r="H64" s="10">
        <v>4</v>
      </c>
      <c r="I64" s="1">
        <v>5</v>
      </c>
      <c r="J64" s="1">
        <v>6</v>
      </c>
      <c r="K64" s="1">
        <v>7</v>
      </c>
      <c r="L64" s="1">
        <v>8</v>
      </c>
      <c r="M64" s="1">
        <v>9</v>
      </c>
      <c r="N64" s="10">
        <v>10</v>
      </c>
      <c r="O64" s="10">
        <v>11</v>
      </c>
      <c r="P64" s="1">
        <v>12</v>
      </c>
      <c r="Q64" s="1">
        <v>13</v>
      </c>
      <c r="R64" s="1">
        <v>14</v>
      </c>
      <c r="S64" s="1">
        <v>15</v>
      </c>
      <c r="T64" s="1">
        <v>16</v>
      </c>
      <c r="U64" s="10">
        <v>17</v>
      </c>
      <c r="V64" s="10">
        <v>18</v>
      </c>
      <c r="W64" s="1">
        <v>19</v>
      </c>
      <c r="X64" s="1">
        <v>20</v>
      </c>
      <c r="Y64" s="1">
        <v>21</v>
      </c>
      <c r="Z64" s="1">
        <v>22</v>
      </c>
      <c r="AA64" s="1">
        <v>23</v>
      </c>
      <c r="AB64" s="10">
        <v>24</v>
      </c>
      <c r="AC64" s="10">
        <v>25</v>
      </c>
      <c r="AD64" s="1">
        <v>26</v>
      </c>
      <c r="AE64" s="1">
        <v>27</v>
      </c>
      <c r="AF64" s="1">
        <v>28</v>
      </c>
      <c r="AG64" s="1">
        <v>29</v>
      </c>
      <c r="AH64" s="1">
        <v>30</v>
      </c>
      <c r="AI64" s="14">
        <v>31</v>
      </c>
      <c r="AJ64" s="56"/>
      <c r="AK64" s="56"/>
      <c r="AL64" s="47"/>
      <c r="AM64" s="23"/>
      <c r="AN64" s="24"/>
      <c r="BM64" s="262" t="s">
        <v>0</v>
      </c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</row>
    <row r="65" spans="1:95" ht="21.75" thickBot="1" x14ac:dyDescent="0.35">
      <c r="B65" s="244"/>
      <c r="C65" s="244"/>
      <c r="D65" s="181"/>
      <c r="E65" s="189" t="s">
        <v>182</v>
      </c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291"/>
      <c r="AJ65" s="56">
        <v>12</v>
      </c>
      <c r="AK65" s="56"/>
      <c r="AL65" s="47"/>
      <c r="AM65" s="23"/>
      <c r="AN65" s="24"/>
      <c r="BM65">
        <v>1</v>
      </c>
      <c r="BN65">
        <v>2</v>
      </c>
      <c r="BO65">
        <v>3</v>
      </c>
      <c r="BP65">
        <v>4</v>
      </c>
      <c r="BQ65">
        <v>5</v>
      </c>
      <c r="BR65">
        <v>6</v>
      </c>
      <c r="BS65">
        <v>7</v>
      </c>
      <c r="BT65">
        <v>8</v>
      </c>
      <c r="BU65">
        <v>9</v>
      </c>
      <c r="BV65">
        <v>10</v>
      </c>
      <c r="BW65">
        <v>11</v>
      </c>
      <c r="BX65">
        <v>12</v>
      </c>
      <c r="BY65">
        <v>13</v>
      </c>
      <c r="BZ65">
        <v>14</v>
      </c>
      <c r="CA65">
        <v>15</v>
      </c>
      <c r="CB65">
        <v>16</v>
      </c>
      <c r="CC65">
        <v>17</v>
      </c>
      <c r="CD65">
        <v>18</v>
      </c>
      <c r="CE65">
        <v>19</v>
      </c>
      <c r="CF65">
        <v>20</v>
      </c>
      <c r="CG65">
        <v>21</v>
      </c>
      <c r="CH65">
        <v>22</v>
      </c>
      <c r="CI65">
        <v>23</v>
      </c>
      <c r="CJ65">
        <v>24</v>
      </c>
      <c r="CK65">
        <v>25</v>
      </c>
      <c r="CL65">
        <v>26</v>
      </c>
      <c r="CM65">
        <v>27</v>
      </c>
      <c r="CN65">
        <v>28</v>
      </c>
      <c r="CO65">
        <v>29</v>
      </c>
      <c r="CP65">
        <v>30</v>
      </c>
      <c r="CQ65">
        <v>31</v>
      </c>
    </row>
    <row r="66" spans="1:95" ht="15.75" thickBot="1" x14ac:dyDescent="0.25">
      <c r="B66" s="244"/>
      <c r="C66" s="244"/>
      <c r="D66" s="181"/>
      <c r="E66" s="4"/>
      <c r="F66" s="1"/>
      <c r="G66" s="10"/>
      <c r="H66" s="10"/>
      <c r="I66" s="250" t="str">
        <f>(E135)</f>
        <v>Entrepreneurship 2-Day Seminar</v>
      </c>
      <c r="J66" s="251"/>
      <c r="K66" s="1"/>
      <c r="L66" s="1"/>
      <c r="M66" s="1"/>
      <c r="N66" s="10"/>
      <c r="O66" s="10"/>
      <c r="P66" s="1"/>
      <c r="Q66" s="1"/>
      <c r="R66" s="1"/>
      <c r="S66" s="1"/>
      <c r="T66" s="1"/>
      <c r="U66" s="10"/>
      <c r="V66" s="10"/>
      <c r="W66" s="288" t="str">
        <f>(E134)</f>
        <v>Three-Day Transition Workshop</v>
      </c>
      <c r="X66" s="289"/>
      <c r="Y66" s="290"/>
      <c r="Z66" s="257" t="str">
        <f>(E137)</f>
        <v>Employment 2 Day Seminar</v>
      </c>
      <c r="AA66" s="258"/>
      <c r="AB66" s="10"/>
      <c r="AC66" s="10"/>
      <c r="AD66" s="1"/>
      <c r="AE66" s="93" t="str">
        <f>(E133)</f>
        <v>Pre Separation Brief</v>
      </c>
      <c r="AF66" s="1"/>
      <c r="AG66" s="94" t="str">
        <f>(E138)</f>
        <v>Education  2 Day Seminar</v>
      </c>
      <c r="AH66" s="1"/>
      <c r="AI66" s="14"/>
      <c r="AK66" s="128"/>
      <c r="AL66" s="47"/>
      <c r="AM66" s="23"/>
      <c r="AN66" s="27"/>
    </row>
    <row r="67" spans="1:95" ht="15.75" thickBot="1" x14ac:dyDescent="0.25">
      <c r="B67" s="244"/>
      <c r="C67" s="244"/>
      <c r="D67" s="181"/>
      <c r="E67" s="4"/>
      <c r="F67" s="1"/>
      <c r="G67" s="10"/>
      <c r="H67" s="10"/>
      <c r="I67" s="1"/>
      <c r="J67" s="1"/>
      <c r="K67" s="1"/>
      <c r="L67" s="1"/>
      <c r="M67" s="70" t="s">
        <v>29</v>
      </c>
      <c r="N67" s="10"/>
      <c r="O67" s="10"/>
      <c r="P67" s="141" t="s">
        <v>84</v>
      </c>
      <c r="Q67" s="1"/>
      <c r="R67" s="1"/>
      <c r="S67" s="1"/>
      <c r="T67" s="1"/>
      <c r="U67" s="10"/>
      <c r="V67" s="10"/>
      <c r="W67" s="1"/>
      <c r="X67" s="1"/>
      <c r="Y67" s="88" t="str">
        <f>(E140)</f>
        <v>VA Individual Appointments</v>
      </c>
      <c r="Z67" s="1"/>
      <c r="AA67" s="1"/>
      <c r="AB67" s="10"/>
      <c r="AC67" s="10"/>
      <c r="AD67" s="1"/>
      <c r="AE67" s="1"/>
      <c r="AF67" s="1"/>
      <c r="AG67" s="1"/>
      <c r="AH67" s="1"/>
      <c r="AI67" s="15"/>
      <c r="AK67" s="128"/>
      <c r="AL67" s="47"/>
      <c r="AM67" s="26"/>
      <c r="AN67" s="29">
        <v>0</v>
      </c>
    </row>
    <row r="68" spans="1:95" ht="15.75" thickBot="1" x14ac:dyDescent="0.25">
      <c r="B68" s="244"/>
      <c r="C68" s="244"/>
      <c r="D68" s="18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K68" s="128"/>
      <c r="AL68" s="47"/>
      <c r="AM68" s="23"/>
      <c r="AN68" s="28"/>
    </row>
    <row r="69" spans="1:95" ht="15.75" thickBot="1" x14ac:dyDescent="0.25">
      <c r="B69" s="244"/>
      <c r="C69" s="244"/>
      <c r="D69" s="252"/>
      <c r="E69" s="190">
        <v>46327</v>
      </c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2"/>
      <c r="AH69" s="192"/>
      <c r="AI69" s="193"/>
      <c r="AK69" s="128" t="s">
        <v>57</v>
      </c>
      <c r="AL69" s="47">
        <f>SUM(AL63+2.5-AN67)</f>
        <v>48</v>
      </c>
      <c r="AM69" s="23"/>
      <c r="AN69" s="24"/>
    </row>
    <row r="70" spans="1:95" x14ac:dyDescent="0.2">
      <c r="B70" s="244"/>
      <c r="C70" s="244"/>
      <c r="D70" s="252"/>
      <c r="E70" s="120">
        <v>1</v>
      </c>
      <c r="F70" s="57">
        <v>2</v>
      </c>
      <c r="G70" s="57">
        <v>3</v>
      </c>
      <c r="H70" s="57">
        <v>4</v>
      </c>
      <c r="I70" s="57">
        <v>5</v>
      </c>
      <c r="J70" s="57">
        <v>6</v>
      </c>
      <c r="K70" s="58">
        <v>7</v>
      </c>
      <c r="L70" s="58">
        <v>8</v>
      </c>
      <c r="M70" s="57">
        <v>9</v>
      </c>
      <c r="N70" s="57">
        <v>10</v>
      </c>
      <c r="O70" s="57">
        <v>11</v>
      </c>
      <c r="P70" s="57">
        <v>12</v>
      </c>
      <c r="Q70" s="57">
        <v>13</v>
      </c>
      <c r="R70" s="58">
        <v>14</v>
      </c>
      <c r="S70" s="58">
        <v>15</v>
      </c>
      <c r="T70" s="57">
        <v>16</v>
      </c>
      <c r="U70" s="57">
        <v>17</v>
      </c>
      <c r="V70" s="57">
        <v>18</v>
      </c>
      <c r="W70" s="57">
        <v>19</v>
      </c>
      <c r="X70" s="57">
        <v>20</v>
      </c>
      <c r="Y70" s="58">
        <v>21</v>
      </c>
      <c r="Z70" s="58">
        <v>22</v>
      </c>
      <c r="AA70" s="57">
        <v>23</v>
      </c>
      <c r="AB70" s="57">
        <v>24</v>
      </c>
      <c r="AC70" s="68">
        <v>25</v>
      </c>
      <c r="AD70" s="68">
        <v>26</v>
      </c>
      <c r="AE70" s="68">
        <v>27</v>
      </c>
      <c r="AF70" s="69">
        <v>28</v>
      </c>
      <c r="AG70" s="69">
        <v>29</v>
      </c>
      <c r="AH70" s="64">
        <v>30</v>
      </c>
      <c r="AI70" s="3"/>
      <c r="AJ70" s="56"/>
      <c r="AK70" s="56"/>
      <c r="AL70" s="47"/>
      <c r="AM70" s="23"/>
      <c r="AN70" s="24"/>
    </row>
    <row r="71" spans="1:95" ht="21" x14ac:dyDescent="0.3">
      <c r="A71" s="67"/>
      <c r="B71" s="244"/>
      <c r="C71" s="244"/>
      <c r="D71" s="252"/>
      <c r="E71" s="270" t="s">
        <v>182</v>
      </c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2"/>
      <c r="AI71" s="5"/>
      <c r="AJ71" s="114">
        <v>13</v>
      </c>
      <c r="AK71" s="128"/>
      <c r="AL71" s="47"/>
      <c r="AM71" s="23"/>
      <c r="AN71" s="24"/>
    </row>
    <row r="72" spans="1:95" ht="15.75" thickBot="1" x14ac:dyDescent="0.25">
      <c r="B72" s="244"/>
      <c r="C72" s="244"/>
      <c r="D72" s="252"/>
      <c r="E72" s="121"/>
      <c r="F72" s="59"/>
      <c r="G72" s="122" t="s">
        <v>18</v>
      </c>
      <c r="H72" s="59"/>
      <c r="I72" s="59"/>
      <c r="J72" s="59"/>
      <c r="K72" s="60"/>
      <c r="L72" s="60"/>
      <c r="M72" s="59"/>
      <c r="N72" s="59"/>
      <c r="O72" s="59"/>
      <c r="P72" s="298" t="str">
        <f>(E136)</f>
        <v>Career &amp; Credential Exploration 2 Day Seminar</v>
      </c>
      <c r="Q72" s="299"/>
      <c r="R72" s="60"/>
      <c r="S72" s="60"/>
      <c r="T72" s="295" t="str">
        <f>(E134)</f>
        <v>Three-Day Transition Workshop</v>
      </c>
      <c r="U72" s="296"/>
      <c r="V72" s="297"/>
      <c r="W72" s="280" t="str">
        <f>(E137)</f>
        <v>Employment 2 Day Seminar</v>
      </c>
      <c r="X72" s="281"/>
      <c r="Y72" s="60"/>
      <c r="Z72" s="60"/>
      <c r="AA72" s="282" t="s">
        <v>80</v>
      </c>
      <c r="AB72" s="283"/>
      <c r="AC72" s="283"/>
      <c r="AD72" s="283"/>
      <c r="AE72" s="300"/>
      <c r="AF72" s="60"/>
      <c r="AG72" s="60"/>
      <c r="AH72" s="1"/>
      <c r="AI72" s="5"/>
      <c r="AK72" s="128"/>
      <c r="AL72" s="47"/>
      <c r="AM72" s="23"/>
      <c r="AN72" s="27"/>
    </row>
    <row r="73" spans="1:95" ht="15.75" thickBot="1" x14ac:dyDescent="0.25">
      <c r="B73" s="244"/>
      <c r="C73" s="244"/>
      <c r="D73" s="252"/>
      <c r="E73" s="13"/>
      <c r="F73" s="7"/>
      <c r="G73" s="92" t="str">
        <f>(E133)</f>
        <v>Pre Separation Brief</v>
      </c>
      <c r="H73" s="7"/>
      <c r="I73" s="7"/>
      <c r="J73" s="7"/>
      <c r="K73" s="11"/>
      <c r="L73" s="11"/>
      <c r="M73" s="7"/>
      <c r="N73" s="143" t="s">
        <v>111</v>
      </c>
      <c r="O73" s="143" t="s">
        <v>85</v>
      </c>
      <c r="P73" s="7"/>
      <c r="Q73" s="7"/>
      <c r="R73" s="11"/>
      <c r="S73" s="11"/>
      <c r="T73" s="7"/>
      <c r="U73" s="7"/>
      <c r="V73" s="89" t="str">
        <f>(E140)</f>
        <v>VA Individual Appointments</v>
      </c>
      <c r="W73" s="7"/>
      <c r="X73" s="7"/>
      <c r="Y73" s="11"/>
      <c r="Z73" s="11"/>
      <c r="AA73" s="7"/>
      <c r="AB73" s="123" t="str">
        <f>(E133)</f>
        <v>Pre Separation Brief</v>
      </c>
      <c r="AC73" s="7"/>
      <c r="AD73" s="211" t="s">
        <v>2</v>
      </c>
      <c r="AE73" s="212"/>
      <c r="AF73" s="11"/>
      <c r="AG73" s="11"/>
      <c r="AH73" s="7"/>
      <c r="AI73" s="8"/>
      <c r="AK73" s="128"/>
      <c r="AL73" s="47"/>
      <c r="AM73" s="26"/>
      <c r="AN73" s="29">
        <v>0</v>
      </c>
    </row>
    <row r="74" spans="1:95" ht="15.75" thickBot="1" x14ac:dyDescent="0.25">
      <c r="B74" s="244"/>
      <c r="C74" s="244"/>
      <c r="D74" s="181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K74" s="128"/>
      <c r="AL74" s="47"/>
      <c r="AM74" s="23"/>
      <c r="AN74" s="28"/>
    </row>
    <row r="75" spans="1:95" x14ac:dyDescent="0.2">
      <c r="B75" s="244"/>
      <c r="C75" s="244"/>
      <c r="D75" s="252">
        <v>1</v>
      </c>
      <c r="E75" s="217">
        <v>46357</v>
      </c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9"/>
      <c r="AH75" s="219"/>
      <c r="AI75" s="220"/>
      <c r="AK75" s="128" t="s">
        <v>58</v>
      </c>
      <c r="AL75" s="47">
        <f>SUM(AL69+2.5-AN73)</f>
        <v>50.5</v>
      </c>
      <c r="AM75" s="23"/>
      <c r="AN75" s="24"/>
    </row>
    <row r="76" spans="1:95" ht="15.75" thickBot="1" x14ac:dyDescent="0.25">
      <c r="B76" s="244"/>
      <c r="C76" s="244"/>
      <c r="D76" s="252"/>
      <c r="E76" s="61">
        <v>1</v>
      </c>
      <c r="F76" s="62">
        <v>2</v>
      </c>
      <c r="G76" s="62">
        <v>3</v>
      </c>
      <c r="H76" s="62">
        <v>4</v>
      </c>
      <c r="I76" s="63">
        <v>5</v>
      </c>
      <c r="J76" s="63">
        <v>6</v>
      </c>
      <c r="K76" s="62">
        <v>7</v>
      </c>
      <c r="L76" s="62">
        <v>8</v>
      </c>
      <c r="M76" s="62">
        <v>9</v>
      </c>
      <c r="N76" s="62">
        <v>10</v>
      </c>
      <c r="O76" s="62">
        <v>11</v>
      </c>
      <c r="P76" s="63">
        <v>12</v>
      </c>
      <c r="Q76" s="63">
        <v>13</v>
      </c>
      <c r="R76" s="62">
        <v>14</v>
      </c>
      <c r="S76" s="62">
        <v>15</v>
      </c>
      <c r="T76" s="62">
        <v>16</v>
      </c>
      <c r="U76" s="62">
        <v>17</v>
      </c>
      <c r="V76" s="62">
        <v>18</v>
      </c>
      <c r="W76" s="63">
        <v>19</v>
      </c>
      <c r="X76" s="63">
        <v>20</v>
      </c>
      <c r="Y76" s="62">
        <v>21</v>
      </c>
      <c r="Z76" s="62">
        <v>22</v>
      </c>
      <c r="AA76" s="62">
        <v>23</v>
      </c>
      <c r="AB76" s="62">
        <v>24</v>
      </c>
      <c r="AC76" s="62">
        <v>25</v>
      </c>
      <c r="AD76" s="63">
        <v>26</v>
      </c>
      <c r="AE76" s="63">
        <v>27</v>
      </c>
      <c r="AF76" s="62">
        <v>28</v>
      </c>
      <c r="AG76" s="62">
        <v>29</v>
      </c>
      <c r="AH76" s="62">
        <v>30</v>
      </c>
      <c r="AI76" s="62">
        <v>31</v>
      </c>
      <c r="AK76" s="128"/>
      <c r="AL76" s="47"/>
      <c r="AM76" s="23"/>
      <c r="AN76" s="24"/>
    </row>
    <row r="77" spans="1:95" ht="21.75" thickBot="1" x14ac:dyDescent="0.35">
      <c r="B77" s="244"/>
      <c r="C77" s="244"/>
      <c r="D77" s="252"/>
      <c r="E77" s="285" t="s">
        <v>64</v>
      </c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  <c r="W77" s="286"/>
      <c r="X77" s="286"/>
      <c r="Y77" s="285" t="s">
        <v>33</v>
      </c>
      <c r="Z77" s="286"/>
      <c r="AA77" s="286"/>
      <c r="AB77" s="286"/>
      <c r="AC77" s="286"/>
      <c r="AD77" s="286"/>
      <c r="AE77" s="286"/>
      <c r="AF77" s="286"/>
      <c r="AG77" s="286"/>
      <c r="AH77" s="286"/>
      <c r="AI77" s="287"/>
      <c r="AJ77" s="114">
        <v>20</v>
      </c>
      <c r="AK77" s="128"/>
      <c r="AL77" s="47"/>
      <c r="AM77" s="23"/>
      <c r="AN77" s="24"/>
    </row>
    <row r="78" spans="1:95" ht="15.75" thickBot="1" x14ac:dyDescent="0.25">
      <c r="B78" s="244"/>
      <c r="C78" s="244"/>
      <c r="D78" s="252"/>
      <c r="E78" s="137" t="str">
        <f>(E133)</f>
        <v>Pre Separation Brief</v>
      </c>
      <c r="F78" s="59"/>
      <c r="G78" s="59"/>
      <c r="H78" s="59"/>
      <c r="I78" s="60"/>
      <c r="J78" s="60"/>
      <c r="K78" s="295" t="str">
        <f>(E134)</f>
        <v>Three-Day Transition Workshop</v>
      </c>
      <c r="L78" s="296"/>
      <c r="M78" s="297"/>
      <c r="N78" s="280" t="str">
        <f>(E137)</f>
        <v>Employment 2 Day Seminar</v>
      </c>
      <c r="O78" s="281"/>
      <c r="P78" s="60"/>
      <c r="Q78" s="60"/>
      <c r="R78" s="59"/>
      <c r="S78" s="138"/>
      <c r="T78" s="59"/>
      <c r="U78" s="59"/>
      <c r="V78" s="59"/>
      <c r="W78" s="60"/>
      <c r="X78" s="60"/>
      <c r="Y78" s="282" t="s">
        <v>80</v>
      </c>
      <c r="Z78" s="283"/>
      <c r="AA78" s="283"/>
      <c r="AB78" s="283"/>
      <c r="AC78" s="283"/>
      <c r="AD78" s="283"/>
      <c r="AE78" s="283"/>
      <c r="AF78" s="283"/>
      <c r="AG78" s="283"/>
      <c r="AH78" s="283"/>
      <c r="AI78" s="284"/>
      <c r="AK78" s="128"/>
      <c r="AL78" s="47"/>
      <c r="AM78" s="23"/>
      <c r="AN78" s="27"/>
    </row>
    <row r="79" spans="1:95" ht="15.75" thickBot="1" x14ac:dyDescent="0.25">
      <c r="B79" s="244"/>
      <c r="C79" s="244"/>
      <c r="D79" s="252"/>
      <c r="E79" s="6"/>
      <c r="F79" s="7"/>
      <c r="G79" s="7"/>
      <c r="H79" s="7"/>
      <c r="I79" s="11"/>
      <c r="J79" s="11"/>
      <c r="K79" s="7"/>
      <c r="L79" s="7"/>
      <c r="M79" s="89" t="str">
        <f>(E140)</f>
        <v>VA Individual Appointments</v>
      </c>
      <c r="N79" s="7"/>
      <c r="O79" s="7"/>
      <c r="P79" s="11"/>
      <c r="Q79" s="11"/>
      <c r="R79" s="7"/>
      <c r="S79" s="90" t="str">
        <f>(E133)</f>
        <v>Pre Separation Brief</v>
      </c>
      <c r="T79" s="7"/>
      <c r="U79" s="7"/>
      <c r="V79" s="7"/>
      <c r="W79" s="11"/>
      <c r="X79" s="11"/>
      <c r="Y79" s="7"/>
      <c r="Z79" s="7"/>
      <c r="AA79" s="7"/>
      <c r="AB79" s="22" t="s">
        <v>3</v>
      </c>
      <c r="AC79" s="22" t="s">
        <v>3</v>
      </c>
      <c r="AD79" s="11"/>
      <c r="AE79" s="11"/>
      <c r="AF79" s="7"/>
      <c r="AG79" s="7"/>
      <c r="AH79" s="7"/>
      <c r="AI79" s="22" t="s">
        <v>3</v>
      </c>
      <c r="AK79" s="128"/>
      <c r="AL79" s="47"/>
      <c r="AM79" s="26"/>
      <c r="AN79" s="29">
        <v>0</v>
      </c>
    </row>
    <row r="80" spans="1:95" ht="15.75" thickBot="1" x14ac:dyDescent="0.25">
      <c r="B80" s="244"/>
      <c r="C80" s="244"/>
      <c r="D80" s="181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K80" s="128"/>
      <c r="AL80" s="47"/>
      <c r="AM80" s="23"/>
      <c r="AN80" s="28"/>
    </row>
    <row r="81" spans="2:40" ht="24.75" x14ac:dyDescent="0.35">
      <c r="B81" s="244"/>
      <c r="C81" s="244"/>
      <c r="D81" s="252">
        <v>2</v>
      </c>
      <c r="E81" s="194">
        <v>46388</v>
      </c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6"/>
      <c r="AJ81" s="140"/>
      <c r="AK81" s="128" t="s">
        <v>59</v>
      </c>
      <c r="AL81" s="47">
        <f>SUM(AL75+2.5-AN79)</f>
        <v>53</v>
      </c>
      <c r="AM81" s="23"/>
      <c r="AN81" s="24"/>
    </row>
    <row r="82" spans="2:40" x14ac:dyDescent="0.2">
      <c r="B82" s="244"/>
      <c r="C82" s="244"/>
      <c r="D82" s="252"/>
      <c r="E82" s="4">
        <v>1</v>
      </c>
      <c r="F82" s="10">
        <v>2</v>
      </c>
      <c r="G82" s="10">
        <v>3</v>
      </c>
      <c r="H82" s="1">
        <v>4</v>
      </c>
      <c r="I82" s="1">
        <v>5</v>
      </c>
      <c r="J82" s="1">
        <v>6</v>
      </c>
      <c r="K82" s="1">
        <v>7</v>
      </c>
      <c r="L82" s="1">
        <v>8</v>
      </c>
      <c r="M82" s="10">
        <v>9</v>
      </c>
      <c r="N82" s="10">
        <v>10</v>
      </c>
      <c r="O82" s="1">
        <v>11</v>
      </c>
      <c r="P82" s="1">
        <v>12</v>
      </c>
      <c r="Q82" s="1">
        <v>13</v>
      </c>
      <c r="R82" s="1">
        <v>14</v>
      </c>
      <c r="S82" s="1">
        <v>15</v>
      </c>
      <c r="T82" s="10">
        <v>16</v>
      </c>
      <c r="U82" s="10">
        <v>17</v>
      </c>
      <c r="V82" s="1">
        <v>18</v>
      </c>
      <c r="W82" s="1">
        <v>19</v>
      </c>
      <c r="X82" s="1">
        <v>20</v>
      </c>
      <c r="Y82" s="1">
        <v>21</v>
      </c>
      <c r="Z82" s="1">
        <v>22</v>
      </c>
      <c r="AA82" s="10">
        <v>23</v>
      </c>
      <c r="AB82" s="10">
        <v>24</v>
      </c>
      <c r="AC82" s="1">
        <v>25</v>
      </c>
      <c r="AD82" s="1">
        <v>26</v>
      </c>
      <c r="AE82" s="1">
        <v>27</v>
      </c>
      <c r="AF82" s="1">
        <v>28</v>
      </c>
      <c r="AG82" s="1">
        <v>29</v>
      </c>
      <c r="AH82" s="10">
        <v>30</v>
      </c>
      <c r="AI82" s="40">
        <v>31</v>
      </c>
      <c r="AJ82" s="114" t="s">
        <v>86</v>
      </c>
      <c r="AK82" s="128"/>
      <c r="AL82" s="47"/>
      <c r="AM82" s="23"/>
      <c r="AN82" s="24"/>
    </row>
    <row r="83" spans="2:40" ht="24.75" x14ac:dyDescent="0.35">
      <c r="B83" s="244"/>
      <c r="C83" s="244"/>
      <c r="D83" s="252"/>
      <c r="E83" s="101" t="s">
        <v>35</v>
      </c>
      <c r="F83" s="292" t="s">
        <v>65</v>
      </c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93"/>
      <c r="AB83" s="293"/>
      <c r="AC83" s="293"/>
      <c r="AD83" s="293"/>
      <c r="AE83" s="293"/>
      <c r="AF83" s="293"/>
      <c r="AG83" s="293"/>
      <c r="AH83" s="293"/>
      <c r="AI83" s="294"/>
      <c r="AJ83" s="140">
        <f>SUM(AJ55:AJ82)</f>
        <v>58</v>
      </c>
      <c r="AK83" s="128"/>
      <c r="AL83" s="47"/>
      <c r="AM83" s="23"/>
      <c r="AN83" s="24"/>
    </row>
    <row r="84" spans="2:40" ht="15.75" thickBot="1" x14ac:dyDescent="0.25">
      <c r="B84" s="244"/>
      <c r="C84" s="244"/>
      <c r="D84" s="252"/>
      <c r="E84" s="4"/>
      <c r="F84" s="10"/>
      <c r="G84" s="10"/>
      <c r="H84" s="1"/>
      <c r="I84" s="1"/>
      <c r="J84" s="1"/>
      <c r="K84" s="1"/>
      <c r="L84" s="1"/>
      <c r="M84" s="10"/>
      <c r="N84" s="10"/>
      <c r="O84" s="1"/>
      <c r="P84" s="1"/>
      <c r="Q84" s="1"/>
      <c r="R84" s="1"/>
      <c r="S84" s="1"/>
      <c r="T84" s="10"/>
      <c r="U84" s="10"/>
      <c r="V84" s="1"/>
      <c r="W84" s="1"/>
      <c r="X84" s="1"/>
      <c r="Y84" s="1"/>
      <c r="Z84" s="1"/>
      <c r="AA84" s="10"/>
      <c r="AB84" s="10"/>
      <c r="AC84" s="1"/>
      <c r="AD84" s="1"/>
      <c r="AE84" s="1"/>
      <c r="AF84" s="1"/>
      <c r="AG84" s="1"/>
      <c r="AH84" s="10"/>
      <c r="AI84" s="40"/>
      <c r="AK84" s="128"/>
      <c r="AL84" s="47"/>
      <c r="AM84" s="23"/>
      <c r="AN84" s="27"/>
    </row>
    <row r="85" spans="2:40" ht="25.5" thickBot="1" x14ac:dyDescent="0.4">
      <c r="B85" s="244"/>
      <c r="C85" s="244"/>
      <c r="D85" s="252"/>
      <c r="E85" s="21" t="s">
        <v>2</v>
      </c>
      <c r="F85" s="10"/>
      <c r="G85" s="10"/>
      <c r="H85" s="1"/>
      <c r="I85" s="1"/>
      <c r="J85" s="1"/>
      <c r="K85" s="1"/>
      <c r="L85" s="1"/>
      <c r="M85" s="10"/>
      <c r="N85" s="10"/>
      <c r="O85" s="1"/>
      <c r="P85" s="1"/>
      <c r="Q85" s="1"/>
      <c r="R85" s="1"/>
      <c r="S85" s="1"/>
      <c r="T85" s="10"/>
      <c r="U85" s="10"/>
      <c r="V85" s="141" t="s">
        <v>81</v>
      </c>
      <c r="W85" s="1"/>
      <c r="X85" s="1"/>
      <c r="Y85" s="1"/>
      <c r="Z85" s="1"/>
      <c r="AA85" s="10"/>
      <c r="AB85" s="10"/>
      <c r="AC85" s="1"/>
      <c r="AD85" s="1"/>
      <c r="AE85" s="1"/>
      <c r="AF85" s="1"/>
      <c r="AG85" s="1"/>
      <c r="AH85" s="10"/>
      <c r="AI85" s="40"/>
      <c r="AJ85" s="140"/>
      <c r="AK85" s="128"/>
      <c r="AL85" s="47"/>
      <c r="AM85" s="26"/>
      <c r="AN85" s="29">
        <v>0</v>
      </c>
    </row>
    <row r="86" spans="2:40" ht="25.5" thickBot="1" x14ac:dyDescent="0.4">
      <c r="B86" s="244"/>
      <c r="C86" s="244"/>
      <c r="D86" s="181"/>
      <c r="AJ86" s="140" t="s">
        <v>87</v>
      </c>
      <c r="AK86" s="128"/>
      <c r="AL86" s="47"/>
      <c r="AM86" s="23"/>
      <c r="AN86" s="28"/>
    </row>
    <row r="87" spans="2:40" ht="24.75" x14ac:dyDescent="0.35">
      <c r="B87" s="244"/>
      <c r="C87" s="244"/>
      <c r="D87" s="252">
        <v>3</v>
      </c>
      <c r="E87" s="194">
        <v>46419</v>
      </c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6"/>
      <c r="AJ87" s="140">
        <f>AL117</f>
        <v>3</v>
      </c>
      <c r="AK87" s="128" t="s">
        <v>60</v>
      </c>
      <c r="AL87" s="47">
        <f>SUM(AL81+2.5-AN85)</f>
        <v>55.5</v>
      </c>
      <c r="AM87" s="23"/>
      <c r="AN87" s="24"/>
    </row>
    <row r="88" spans="2:40" x14ac:dyDescent="0.2">
      <c r="B88" s="244"/>
      <c r="C88" s="244"/>
      <c r="D88" s="252"/>
      <c r="E88" s="4">
        <v>1</v>
      </c>
      <c r="F88" s="1">
        <v>2</v>
      </c>
      <c r="G88" s="1">
        <v>3</v>
      </c>
      <c r="H88" s="1">
        <v>4</v>
      </c>
      <c r="I88" s="1">
        <v>5</v>
      </c>
      <c r="J88" s="38">
        <v>6</v>
      </c>
      <c r="K88" s="38">
        <v>7</v>
      </c>
      <c r="L88" s="1">
        <v>8</v>
      </c>
      <c r="M88" s="1">
        <v>9</v>
      </c>
      <c r="N88" s="1">
        <v>10</v>
      </c>
      <c r="O88" s="1">
        <v>11</v>
      </c>
      <c r="P88" s="1">
        <v>12</v>
      </c>
      <c r="Q88" s="38">
        <v>13</v>
      </c>
      <c r="R88" s="38">
        <v>14</v>
      </c>
      <c r="S88" s="1">
        <v>15</v>
      </c>
      <c r="T88" s="1">
        <v>16</v>
      </c>
      <c r="U88" s="1">
        <v>17</v>
      </c>
      <c r="V88" s="1">
        <v>18</v>
      </c>
      <c r="W88" s="1">
        <v>19</v>
      </c>
      <c r="X88" s="38">
        <v>20</v>
      </c>
      <c r="Y88" s="38">
        <v>21</v>
      </c>
      <c r="Z88" s="1">
        <v>22</v>
      </c>
      <c r="AA88" s="1">
        <v>23</v>
      </c>
      <c r="AB88" s="62">
        <v>24</v>
      </c>
      <c r="AC88" s="62">
        <v>25</v>
      </c>
      <c r="AD88" s="62">
        <v>26</v>
      </c>
      <c r="AE88" s="103">
        <v>27</v>
      </c>
      <c r="AF88" s="103">
        <v>28</v>
      </c>
      <c r="AG88" s="1"/>
      <c r="AH88" s="1"/>
      <c r="AI88" s="5"/>
      <c r="AK88" s="128"/>
      <c r="AL88" s="47"/>
      <c r="AM88" s="23"/>
      <c r="AN88" s="24"/>
    </row>
    <row r="89" spans="2:40" x14ac:dyDescent="0.2">
      <c r="B89" s="244"/>
      <c r="C89" s="244"/>
      <c r="D89" s="252"/>
      <c r="E89" s="267" t="s">
        <v>48</v>
      </c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8"/>
      <c r="AF89" s="269"/>
      <c r="AG89" s="102"/>
      <c r="AH89" s="1"/>
      <c r="AI89" s="5"/>
      <c r="AK89" s="128"/>
      <c r="AL89" s="47"/>
      <c r="AM89" s="23"/>
      <c r="AN89" s="24"/>
    </row>
    <row r="90" spans="2:40" ht="15.75" thickBot="1" x14ac:dyDescent="0.25">
      <c r="B90" s="244"/>
      <c r="C90" s="244"/>
      <c r="D90" s="252"/>
      <c r="E90" s="4"/>
      <c r="F90" s="1"/>
      <c r="G90" s="1"/>
      <c r="H90" s="1"/>
      <c r="I90" s="1"/>
      <c r="J90" s="38"/>
      <c r="K90" s="38"/>
      <c r="L90" s="1"/>
      <c r="M90" s="1"/>
      <c r="N90" s="1"/>
      <c r="O90" s="1"/>
      <c r="P90" s="1"/>
      <c r="Q90" s="38"/>
      <c r="R90" s="38"/>
      <c r="S90" s="1"/>
      <c r="T90" s="1"/>
      <c r="U90" s="1"/>
      <c r="V90" s="1"/>
      <c r="W90" s="1"/>
      <c r="X90" s="38"/>
      <c r="Y90" s="38"/>
      <c r="Z90" s="1"/>
      <c r="AA90" s="1"/>
      <c r="AB90" s="59"/>
      <c r="AC90" s="59"/>
      <c r="AD90" s="59"/>
      <c r="AE90" s="104"/>
      <c r="AF90" s="104"/>
      <c r="AG90" s="1"/>
      <c r="AH90" s="1"/>
      <c r="AI90" s="5"/>
      <c r="AK90" s="128"/>
      <c r="AL90" s="47"/>
      <c r="AM90" s="23"/>
      <c r="AN90" s="27"/>
    </row>
    <row r="91" spans="2:40" ht="15.75" thickBot="1" x14ac:dyDescent="0.25">
      <c r="B91" s="244"/>
      <c r="C91" s="244"/>
      <c r="D91" s="252"/>
      <c r="E91" s="4"/>
      <c r="F91" s="1"/>
      <c r="G91" s="1"/>
      <c r="H91" s="1"/>
      <c r="I91" s="1"/>
      <c r="J91" s="38"/>
      <c r="K91" s="38"/>
      <c r="L91" s="22" t="s">
        <v>9</v>
      </c>
      <c r="M91" s="1"/>
      <c r="N91" s="1"/>
      <c r="O91" s="1"/>
      <c r="P91" s="1"/>
      <c r="Q91" s="38"/>
      <c r="R91" s="38"/>
      <c r="S91" s="141" t="s">
        <v>82</v>
      </c>
      <c r="T91" s="1"/>
      <c r="U91" s="1"/>
      <c r="V91" s="1"/>
      <c r="W91" s="1"/>
      <c r="X91" s="38"/>
      <c r="Y91" s="38"/>
      <c r="Z91" s="1"/>
      <c r="AA91" s="1"/>
      <c r="AB91" s="1"/>
      <c r="AC91" s="1"/>
      <c r="AD91" s="1"/>
      <c r="AE91" s="38"/>
      <c r="AF91" s="38"/>
      <c r="AG91" s="1"/>
      <c r="AH91" s="1"/>
      <c r="AI91" s="5"/>
      <c r="AK91" s="128"/>
      <c r="AL91" s="47"/>
      <c r="AM91" s="26"/>
      <c r="AN91" s="29">
        <v>0</v>
      </c>
    </row>
    <row r="92" spans="2:40" ht="25.5" thickBot="1" x14ac:dyDescent="0.4">
      <c r="B92" s="244"/>
      <c r="C92" s="244"/>
      <c r="D92" s="181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40"/>
      <c r="AK92" s="128"/>
      <c r="AL92" s="47"/>
      <c r="AM92" s="23"/>
      <c r="AN92" s="28"/>
    </row>
    <row r="93" spans="2:40" x14ac:dyDescent="0.2">
      <c r="B93" s="244"/>
      <c r="C93" s="244"/>
      <c r="D93" s="252">
        <v>4</v>
      </c>
      <c r="E93" s="194">
        <v>46447</v>
      </c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6"/>
      <c r="AK93" s="128" t="s">
        <v>61</v>
      </c>
      <c r="AL93" s="47">
        <f>SUM(AL87+2.5-AN91)</f>
        <v>58</v>
      </c>
      <c r="AM93" s="23"/>
      <c r="AN93" s="24"/>
    </row>
    <row r="94" spans="2:40" x14ac:dyDescent="0.2">
      <c r="B94" s="244"/>
      <c r="C94" s="244"/>
      <c r="D94" s="252"/>
      <c r="E94" s="4">
        <v>1</v>
      </c>
      <c r="F94" s="1">
        <v>2</v>
      </c>
      <c r="G94" s="1">
        <v>3</v>
      </c>
      <c r="H94" s="1">
        <v>4</v>
      </c>
      <c r="I94" s="1">
        <v>5</v>
      </c>
      <c r="J94" s="10">
        <v>6</v>
      </c>
      <c r="K94" s="10">
        <v>7</v>
      </c>
      <c r="L94" s="1">
        <v>8</v>
      </c>
      <c r="M94" s="1">
        <v>9</v>
      </c>
      <c r="N94" s="1">
        <v>10</v>
      </c>
      <c r="O94" s="1">
        <v>11</v>
      </c>
      <c r="P94" s="1">
        <v>12</v>
      </c>
      <c r="Q94" s="10">
        <v>13</v>
      </c>
      <c r="R94" s="10">
        <v>14</v>
      </c>
      <c r="S94" s="1">
        <v>15</v>
      </c>
      <c r="T94" s="1">
        <v>16</v>
      </c>
      <c r="U94" s="1">
        <v>17</v>
      </c>
      <c r="V94" s="1">
        <v>18</v>
      </c>
      <c r="W94" s="1">
        <v>19</v>
      </c>
      <c r="X94" s="10">
        <v>20</v>
      </c>
      <c r="Y94" s="10">
        <v>21</v>
      </c>
      <c r="Z94" s="1">
        <v>22</v>
      </c>
      <c r="AA94" s="1">
        <v>23</v>
      </c>
      <c r="AB94" s="1">
        <v>24</v>
      </c>
      <c r="AC94" s="1">
        <v>25</v>
      </c>
      <c r="AD94" s="1">
        <v>26</v>
      </c>
      <c r="AE94" s="10">
        <v>27</v>
      </c>
      <c r="AF94" s="10">
        <v>28</v>
      </c>
      <c r="AG94" s="1">
        <v>29</v>
      </c>
      <c r="AH94" s="1">
        <v>30</v>
      </c>
      <c r="AI94" s="5">
        <v>31</v>
      </c>
      <c r="AK94" s="128"/>
      <c r="AL94" s="47"/>
      <c r="AM94" s="23"/>
      <c r="AN94" s="24"/>
    </row>
    <row r="95" spans="2:40" ht="15.75" thickBot="1" x14ac:dyDescent="0.25">
      <c r="B95" s="244"/>
      <c r="C95" s="244"/>
      <c r="D95" s="252"/>
      <c r="E95" s="274" t="s">
        <v>68</v>
      </c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  <c r="AB95" s="275"/>
      <c r="AC95" s="275"/>
      <c r="AD95" s="275"/>
      <c r="AE95" s="275"/>
      <c r="AF95" s="275"/>
      <c r="AG95" s="275"/>
      <c r="AH95" s="275"/>
      <c r="AI95" s="276"/>
      <c r="AK95" s="128"/>
      <c r="AL95" s="47"/>
      <c r="AM95" s="23"/>
      <c r="AN95" s="24"/>
    </row>
    <row r="96" spans="2:40" ht="15.75" thickBot="1" x14ac:dyDescent="0.25">
      <c r="B96" s="244"/>
      <c r="C96" s="244"/>
      <c r="D96" s="252"/>
      <c r="E96" s="4"/>
      <c r="F96" s="1"/>
      <c r="G96" s="1"/>
      <c r="H96" s="1"/>
      <c r="I96" s="1"/>
      <c r="J96" s="10"/>
      <c r="K96" s="10"/>
      <c r="L96" s="1"/>
      <c r="M96" s="1"/>
      <c r="N96" s="1"/>
      <c r="O96" s="1"/>
      <c r="P96" s="1"/>
      <c r="Q96" s="10"/>
      <c r="R96" s="10"/>
      <c r="S96" s="1"/>
      <c r="T96" s="1"/>
      <c r="U96" s="1"/>
      <c r="V96" s="1"/>
      <c r="W96" s="1"/>
      <c r="X96" s="10"/>
      <c r="Y96" s="10"/>
      <c r="Z96" s="1"/>
      <c r="AA96" s="1"/>
      <c r="AB96" s="1"/>
      <c r="AC96" s="1"/>
      <c r="AD96" s="1"/>
      <c r="AE96" s="10"/>
      <c r="AF96" s="10"/>
      <c r="AG96" s="1"/>
      <c r="AH96" s="1"/>
      <c r="AI96" s="5"/>
      <c r="AK96" s="128"/>
      <c r="AL96" s="47"/>
      <c r="AM96" s="23"/>
      <c r="AN96" s="27"/>
    </row>
    <row r="97" spans="2:40" ht="15.75" thickBot="1" x14ac:dyDescent="0.25">
      <c r="B97" s="244"/>
      <c r="C97" s="244"/>
      <c r="D97" s="252"/>
      <c r="E97" s="4"/>
      <c r="F97" s="1"/>
      <c r="G97" s="1"/>
      <c r="H97" s="1"/>
      <c r="I97" s="1"/>
      <c r="J97" s="10"/>
      <c r="K97" s="10"/>
      <c r="L97" s="1"/>
      <c r="M97" s="1"/>
      <c r="N97" s="1"/>
      <c r="O97" s="1"/>
      <c r="P97" s="1"/>
      <c r="Q97" s="10"/>
      <c r="R97" s="10"/>
      <c r="S97" s="1"/>
      <c r="T97" s="1"/>
      <c r="U97" s="1"/>
      <c r="V97" s="1"/>
      <c r="W97" s="1"/>
      <c r="X97" s="10"/>
      <c r="Y97" s="10"/>
      <c r="Z97" s="1"/>
      <c r="AA97" s="1"/>
      <c r="AB97" s="1"/>
      <c r="AC97" s="1"/>
      <c r="AD97" s="1"/>
      <c r="AE97" s="10"/>
      <c r="AF97" s="10"/>
      <c r="AG97" s="1"/>
      <c r="AH97" s="1"/>
      <c r="AI97" s="5"/>
      <c r="AK97" s="128"/>
      <c r="AL97" s="47"/>
      <c r="AM97" s="26"/>
      <c r="AN97" s="29">
        <v>0</v>
      </c>
    </row>
    <row r="98" spans="2:40" ht="15.75" thickBot="1" x14ac:dyDescent="0.25">
      <c r="B98" s="244"/>
      <c r="C98" s="244"/>
      <c r="D98" s="181"/>
      <c r="AK98" s="128"/>
      <c r="AL98" s="47"/>
      <c r="AM98" s="23"/>
      <c r="AN98" s="28"/>
    </row>
    <row r="99" spans="2:40" x14ac:dyDescent="0.2">
      <c r="B99" s="244"/>
      <c r="C99" s="244"/>
      <c r="D99" s="252">
        <v>5</v>
      </c>
      <c r="E99" s="194">
        <v>46478</v>
      </c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6"/>
      <c r="AK99" s="128" t="s">
        <v>62</v>
      </c>
      <c r="AL99" s="47">
        <f>SUM(AL93+2.5-AN97)</f>
        <v>60.5</v>
      </c>
      <c r="AM99" s="23"/>
      <c r="AN99" s="24"/>
    </row>
    <row r="100" spans="2:40" x14ac:dyDescent="0.2">
      <c r="B100" s="244"/>
      <c r="C100" s="244"/>
      <c r="D100" s="252"/>
      <c r="E100" s="4">
        <v>1</v>
      </c>
      <c r="F100" s="1">
        <v>2</v>
      </c>
      <c r="G100" s="10">
        <v>3</v>
      </c>
      <c r="H100" s="10">
        <v>4</v>
      </c>
      <c r="I100" s="1">
        <v>5</v>
      </c>
      <c r="J100" s="1">
        <v>6</v>
      </c>
      <c r="K100" s="1">
        <v>7</v>
      </c>
      <c r="L100" s="1">
        <v>8</v>
      </c>
      <c r="M100" s="1">
        <v>9</v>
      </c>
      <c r="N100" s="10">
        <v>10</v>
      </c>
      <c r="O100" s="10">
        <v>11</v>
      </c>
      <c r="P100" s="1">
        <v>12</v>
      </c>
      <c r="Q100" s="1">
        <v>13</v>
      </c>
      <c r="R100" s="1">
        <v>14</v>
      </c>
      <c r="S100" s="1">
        <v>15</v>
      </c>
      <c r="T100" s="1">
        <v>16</v>
      </c>
      <c r="U100" s="10">
        <v>17</v>
      </c>
      <c r="V100" s="10">
        <v>18</v>
      </c>
      <c r="W100" s="1">
        <v>19</v>
      </c>
      <c r="X100" s="1">
        <v>20</v>
      </c>
      <c r="Y100" s="1">
        <v>21</v>
      </c>
      <c r="Z100" s="1">
        <v>22</v>
      </c>
      <c r="AA100" s="1">
        <v>23</v>
      </c>
      <c r="AB100" s="10">
        <v>24</v>
      </c>
      <c r="AC100" s="10">
        <v>25</v>
      </c>
      <c r="AD100" s="1">
        <v>26</v>
      </c>
      <c r="AE100" s="1">
        <v>27</v>
      </c>
      <c r="AF100" s="1">
        <v>28</v>
      </c>
      <c r="AG100" s="1">
        <v>29</v>
      </c>
      <c r="AH100" s="1">
        <v>30</v>
      </c>
      <c r="AI100" s="5"/>
      <c r="AK100" s="128"/>
      <c r="AL100" s="47"/>
      <c r="AM100" s="23"/>
      <c r="AN100" s="24"/>
    </row>
    <row r="101" spans="2:40" ht="15.75" thickBot="1" x14ac:dyDescent="0.25">
      <c r="B101" s="244"/>
      <c r="C101" s="244"/>
      <c r="D101" s="252"/>
      <c r="E101" s="131" t="s">
        <v>69</v>
      </c>
      <c r="F101" s="278" t="s">
        <v>66</v>
      </c>
      <c r="G101" s="278"/>
      <c r="H101" s="278"/>
      <c r="I101" s="278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278"/>
      <c r="AH101" s="278"/>
      <c r="AI101" s="65"/>
      <c r="AK101" s="128"/>
      <c r="AL101" s="47"/>
      <c r="AM101" s="23"/>
      <c r="AN101" s="24"/>
    </row>
    <row r="102" spans="2:40" ht="15.75" thickBot="1" x14ac:dyDescent="0.25">
      <c r="B102" s="244"/>
      <c r="C102" s="244"/>
      <c r="D102" s="252"/>
      <c r="E102" s="4"/>
      <c r="F102" s="1"/>
      <c r="G102" s="10"/>
      <c r="H102" s="10"/>
      <c r="I102" s="1"/>
      <c r="J102" s="1"/>
      <c r="K102" s="1"/>
      <c r="L102" s="1"/>
      <c r="M102" s="1"/>
      <c r="N102" s="10"/>
      <c r="O102" s="10"/>
      <c r="P102" s="1"/>
      <c r="Q102" s="1"/>
      <c r="R102" s="1"/>
      <c r="S102" s="1"/>
      <c r="T102" s="1"/>
      <c r="U102" s="10"/>
      <c r="V102" s="10"/>
      <c r="W102" s="1"/>
      <c r="X102" s="1"/>
      <c r="Y102" s="1"/>
      <c r="Z102" s="1"/>
      <c r="AA102" s="1"/>
      <c r="AB102" s="10"/>
      <c r="AC102" s="10"/>
      <c r="AD102" s="1"/>
      <c r="AE102" s="1"/>
      <c r="AF102" s="1"/>
      <c r="AG102" s="1"/>
      <c r="AH102" s="1"/>
      <c r="AI102" s="5"/>
      <c r="AK102" s="128"/>
      <c r="AL102" s="47"/>
      <c r="AM102" s="23"/>
      <c r="AN102" s="27"/>
    </row>
    <row r="103" spans="2:40" ht="15.75" thickBot="1" x14ac:dyDescent="0.25">
      <c r="B103" s="244"/>
      <c r="C103" s="244"/>
      <c r="D103" s="252"/>
      <c r="E103" s="4"/>
      <c r="F103" s="1"/>
      <c r="G103" s="10"/>
      <c r="H103" s="10"/>
      <c r="I103" s="1"/>
      <c r="J103" s="1"/>
      <c r="K103" s="1"/>
      <c r="L103" s="1"/>
      <c r="M103" s="1"/>
      <c r="N103" s="10"/>
      <c r="O103" s="10"/>
      <c r="P103" s="1"/>
      <c r="Q103" s="1"/>
      <c r="R103" s="1"/>
      <c r="S103" s="1"/>
      <c r="T103" s="1"/>
      <c r="U103" s="10"/>
      <c r="V103" s="10"/>
      <c r="W103" s="1"/>
      <c r="X103" s="1"/>
      <c r="Y103" s="1"/>
      <c r="Z103" s="1"/>
      <c r="AA103" s="1"/>
      <c r="AB103" s="10"/>
      <c r="AC103" s="10"/>
      <c r="AD103" s="1"/>
      <c r="AE103" s="1"/>
      <c r="AF103" s="1"/>
      <c r="AG103" s="1"/>
      <c r="AH103" s="1"/>
      <c r="AI103" s="5"/>
      <c r="AK103" s="128"/>
      <c r="AL103" s="47"/>
      <c r="AM103" s="26"/>
      <c r="AN103" s="29">
        <v>29</v>
      </c>
    </row>
    <row r="104" spans="2:40" ht="15.75" thickBot="1" x14ac:dyDescent="0.25">
      <c r="B104" s="244"/>
      <c r="C104" s="244"/>
      <c r="D104" s="181"/>
      <c r="AK104" s="128"/>
      <c r="AL104" s="47"/>
      <c r="AM104" s="23"/>
      <c r="AN104" s="28"/>
    </row>
    <row r="105" spans="2:40" x14ac:dyDescent="0.2">
      <c r="B105" s="244"/>
      <c r="C105" s="244"/>
      <c r="D105" s="252">
        <v>6</v>
      </c>
      <c r="E105" s="194" t="s">
        <v>196</v>
      </c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6"/>
      <c r="AK105" s="128" t="s">
        <v>51</v>
      </c>
      <c r="AL105" s="47">
        <f>SUM(AL99+2.5-AN103)</f>
        <v>34</v>
      </c>
      <c r="AM105" s="23"/>
      <c r="AN105" s="24"/>
    </row>
    <row r="106" spans="2:40" x14ac:dyDescent="0.2">
      <c r="B106" s="244"/>
      <c r="C106" s="244"/>
      <c r="D106" s="252"/>
      <c r="E106" s="12">
        <v>1</v>
      </c>
      <c r="F106" s="10">
        <v>2</v>
      </c>
      <c r="G106" s="1">
        <v>3</v>
      </c>
      <c r="H106" s="1">
        <v>4</v>
      </c>
      <c r="I106" s="1">
        <v>5</v>
      </c>
      <c r="J106" s="1">
        <v>6</v>
      </c>
      <c r="K106" s="1">
        <v>7</v>
      </c>
      <c r="L106" s="10">
        <v>8</v>
      </c>
      <c r="M106" s="10">
        <v>9</v>
      </c>
      <c r="N106" s="1">
        <v>10</v>
      </c>
      <c r="O106" s="1">
        <v>11</v>
      </c>
      <c r="P106" s="1">
        <v>12</v>
      </c>
      <c r="Q106" s="1">
        <v>13</v>
      </c>
      <c r="R106" s="1">
        <v>14</v>
      </c>
      <c r="S106" s="10">
        <v>15</v>
      </c>
      <c r="T106" s="10">
        <v>16</v>
      </c>
      <c r="U106" s="1">
        <v>17</v>
      </c>
      <c r="V106" s="1">
        <v>18</v>
      </c>
      <c r="W106" s="1">
        <v>19</v>
      </c>
      <c r="X106" s="1">
        <v>20</v>
      </c>
      <c r="Y106" s="1">
        <v>21</v>
      </c>
      <c r="Z106" s="10">
        <v>22</v>
      </c>
      <c r="AA106" s="10">
        <v>23</v>
      </c>
      <c r="AB106" s="1">
        <v>24</v>
      </c>
      <c r="AC106" s="1">
        <v>25</v>
      </c>
      <c r="AD106" s="1">
        <v>26</v>
      </c>
      <c r="AE106" s="1">
        <v>27</v>
      </c>
      <c r="AF106" s="1">
        <v>28</v>
      </c>
      <c r="AG106" s="10">
        <v>29</v>
      </c>
      <c r="AH106" s="10">
        <v>30</v>
      </c>
      <c r="AI106" s="5">
        <v>31</v>
      </c>
      <c r="AK106" s="128"/>
      <c r="AL106" s="47"/>
      <c r="AM106" s="23"/>
      <c r="AN106" s="24"/>
    </row>
    <row r="107" spans="2:40" ht="15.75" thickBot="1" x14ac:dyDescent="0.25">
      <c r="B107" s="244"/>
      <c r="C107" s="244"/>
      <c r="D107" s="252"/>
      <c r="E107" s="277" t="s">
        <v>67</v>
      </c>
      <c r="F107" s="278"/>
      <c r="G107" s="278"/>
      <c r="H107" s="278"/>
      <c r="I107" s="278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278"/>
      <c r="AH107" s="278"/>
      <c r="AI107" s="279"/>
      <c r="AK107" s="128"/>
      <c r="AL107" s="47"/>
      <c r="AM107" s="23"/>
      <c r="AN107" s="24"/>
    </row>
    <row r="108" spans="2:40" ht="15.75" thickBot="1" x14ac:dyDescent="0.25">
      <c r="B108" s="244"/>
      <c r="C108" s="244"/>
      <c r="D108" s="252"/>
      <c r="E108" s="12"/>
      <c r="F108" s="10"/>
      <c r="G108" s="1"/>
      <c r="H108" s="1"/>
      <c r="I108" s="1"/>
      <c r="J108" s="1"/>
      <c r="K108" s="1"/>
      <c r="L108" s="10"/>
      <c r="M108" s="10"/>
      <c r="N108" s="1"/>
      <c r="O108" s="1"/>
      <c r="P108" s="1"/>
      <c r="Q108" s="1"/>
      <c r="R108" s="1"/>
      <c r="S108" s="10"/>
      <c r="T108" s="10"/>
      <c r="U108" s="1"/>
      <c r="V108" s="1"/>
      <c r="W108" s="1"/>
      <c r="X108" s="1"/>
      <c r="Y108" s="1"/>
      <c r="Z108" s="10"/>
      <c r="AA108" s="10"/>
      <c r="AB108" s="1"/>
      <c r="AC108" s="1"/>
      <c r="AD108" s="1"/>
      <c r="AE108" s="1"/>
      <c r="AF108" s="1"/>
      <c r="AG108" s="10"/>
      <c r="AH108" s="10"/>
      <c r="AI108" s="5"/>
      <c r="AK108" s="128"/>
      <c r="AL108" s="47"/>
      <c r="AM108" s="23"/>
      <c r="AN108" s="27"/>
    </row>
    <row r="109" spans="2:40" ht="15.75" thickBot="1" x14ac:dyDescent="0.25">
      <c r="B109" s="244"/>
      <c r="C109" s="244"/>
      <c r="D109" s="252"/>
      <c r="E109" s="12"/>
      <c r="F109" s="10"/>
      <c r="G109" s="1"/>
      <c r="H109" s="1"/>
      <c r="I109" s="1"/>
      <c r="J109" s="1"/>
      <c r="K109" s="1"/>
      <c r="L109" s="10"/>
      <c r="M109" s="10"/>
      <c r="N109" s="1"/>
      <c r="O109" s="1"/>
      <c r="P109" s="1"/>
      <c r="Q109" s="1"/>
      <c r="R109" s="1"/>
      <c r="S109" s="10"/>
      <c r="T109" s="10"/>
      <c r="U109" s="1"/>
      <c r="V109" s="1"/>
      <c r="W109" s="1"/>
      <c r="X109" s="1"/>
      <c r="Y109" s="1"/>
      <c r="Z109" s="10"/>
      <c r="AA109" s="10"/>
      <c r="AB109" s="1"/>
      <c r="AC109" s="1"/>
      <c r="AD109" s="1"/>
      <c r="AE109" s="1"/>
      <c r="AF109" s="1"/>
      <c r="AG109" s="10"/>
      <c r="AH109" s="10"/>
      <c r="AI109" s="5"/>
      <c r="AK109" s="128"/>
      <c r="AL109" s="47"/>
      <c r="AM109" s="26"/>
      <c r="AN109" s="29">
        <v>31</v>
      </c>
    </row>
    <row r="110" spans="2:40" ht="15.75" thickBot="1" x14ac:dyDescent="0.25">
      <c r="B110" s="244"/>
      <c r="C110" s="244"/>
      <c r="D110" s="181"/>
      <c r="AK110" s="128"/>
      <c r="AL110" s="47"/>
      <c r="AM110" s="23"/>
      <c r="AN110" s="28"/>
    </row>
    <row r="111" spans="2:40" x14ac:dyDescent="0.2">
      <c r="B111" s="244"/>
      <c r="C111" s="244"/>
      <c r="D111" s="181"/>
      <c r="E111" s="194">
        <v>46539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6"/>
      <c r="AK111" s="128" t="s">
        <v>52</v>
      </c>
      <c r="AL111" s="47">
        <f>SUM(AL105-AN109)</f>
        <v>3</v>
      </c>
      <c r="AM111" s="23"/>
      <c r="AN111" s="24"/>
    </row>
    <row r="112" spans="2:40" x14ac:dyDescent="0.2">
      <c r="B112" s="244"/>
      <c r="C112" s="244"/>
      <c r="D112" s="181"/>
      <c r="E112" s="4">
        <v>1</v>
      </c>
      <c r="F112" s="1">
        <v>2</v>
      </c>
      <c r="G112" s="1">
        <v>3</v>
      </c>
      <c r="H112" s="1">
        <v>4</v>
      </c>
      <c r="I112" s="10">
        <v>5</v>
      </c>
      <c r="J112" s="10">
        <v>6</v>
      </c>
      <c r="K112" s="1">
        <v>7</v>
      </c>
      <c r="L112" s="1">
        <v>8</v>
      </c>
      <c r="M112" s="1">
        <v>9</v>
      </c>
      <c r="N112" s="1">
        <v>10</v>
      </c>
      <c r="O112" s="1">
        <v>11</v>
      </c>
      <c r="P112" s="10">
        <v>12</v>
      </c>
      <c r="Q112" s="10">
        <v>13</v>
      </c>
      <c r="R112" s="1">
        <v>14</v>
      </c>
      <c r="S112" s="1">
        <v>15</v>
      </c>
      <c r="T112" s="1">
        <v>16</v>
      </c>
      <c r="U112" s="1">
        <v>17</v>
      </c>
      <c r="V112" s="1">
        <v>18</v>
      </c>
      <c r="W112" s="10">
        <v>19</v>
      </c>
      <c r="X112" s="10">
        <v>20</v>
      </c>
      <c r="Y112" s="1">
        <v>21</v>
      </c>
      <c r="Z112" s="1">
        <v>22</v>
      </c>
      <c r="AA112" s="1">
        <v>23</v>
      </c>
      <c r="AB112" s="1">
        <v>24</v>
      </c>
      <c r="AC112" s="1">
        <v>25</v>
      </c>
      <c r="AD112" s="10">
        <v>26</v>
      </c>
      <c r="AE112" s="10">
        <v>27</v>
      </c>
      <c r="AF112" s="1">
        <v>28</v>
      </c>
      <c r="AG112" s="1">
        <v>29</v>
      </c>
      <c r="AH112" s="1">
        <v>30</v>
      </c>
      <c r="AI112" s="5"/>
      <c r="AK112" s="128"/>
      <c r="AL112" s="47"/>
      <c r="AM112" s="23"/>
      <c r="AN112" s="24"/>
    </row>
    <row r="113" spans="2:40" x14ac:dyDescent="0.2">
      <c r="B113" s="244"/>
      <c r="C113" s="244"/>
      <c r="D113" s="181"/>
      <c r="E113" s="51" t="s">
        <v>30</v>
      </c>
      <c r="F113" s="1"/>
      <c r="G113" s="1"/>
      <c r="H113" s="1"/>
      <c r="I113" s="10"/>
      <c r="J113" s="10"/>
      <c r="K113" s="1"/>
      <c r="L113" s="1"/>
      <c r="M113" s="1"/>
      <c r="N113" s="1"/>
      <c r="O113" s="1"/>
      <c r="P113" s="10"/>
      <c r="Q113" s="10"/>
      <c r="R113" s="1"/>
      <c r="S113" s="1"/>
      <c r="T113" s="1"/>
      <c r="U113" s="1"/>
      <c r="V113" s="1"/>
      <c r="W113" s="10"/>
      <c r="X113" s="10"/>
      <c r="Y113" s="1"/>
      <c r="Z113" s="1"/>
      <c r="AA113" s="1"/>
      <c r="AB113" s="1"/>
      <c r="AC113" s="1"/>
      <c r="AD113" s="10"/>
      <c r="AE113" s="10"/>
      <c r="AF113" s="1"/>
      <c r="AG113" s="1"/>
      <c r="AH113" s="1"/>
      <c r="AI113" s="5"/>
      <c r="AK113" s="128"/>
      <c r="AL113" s="47"/>
      <c r="AM113" s="23"/>
      <c r="AN113" s="24"/>
    </row>
    <row r="114" spans="2:40" ht="15.75" thickBot="1" x14ac:dyDescent="0.25">
      <c r="B114" s="244"/>
      <c r="C114" s="244"/>
      <c r="D114" s="181"/>
      <c r="E114" s="51"/>
      <c r="F114" s="1"/>
      <c r="G114" s="1"/>
      <c r="H114" s="1"/>
      <c r="I114" s="10"/>
      <c r="J114" s="10"/>
      <c r="K114" s="1"/>
      <c r="L114" s="1"/>
      <c r="M114" s="1"/>
      <c r="N114" s="1"/>
      <c r="O114" s="1"/>
      <c r="P114" s="10"/>
      <c r="Q114" s="10"/>
      <c r="R114" s="1"/>
      <c r="S114" s="1"/>
      <c r="T114" s="1"/>
      <c r="U114" s="1"/>
      <c r="V114" s="1"/>
      <c r="W114" s="10"/>
      <c r="X114" s="10"/>
      <c r="Y114" s="1"/>
      <c r="Z114" s="1"/>
      <c r="AA114" s="1"/>
      <c r="AB114" s="1"/>
      <c r="AC114" s="1"/>
      <c r="AD114" s="10"/>
      <c r="AE114" s="10"/>
      <c r="AF114" s="1"/>
      <c r="AG114" s="1"/>
      <c r="AH114" s="1"/>
      <c r="AI114" s="5"/>
      <c r="AK114" s="128"/>
      <c r="AL114" s="47"/>
      <c r="AM114" s="23"/>
      <c r="AN114" s="27"/>
    </row>
    <row r="115" spans="2:40" ht="15.75" thickBot="1" x14ac:dyDescent="0.25">
      <c r="B115" s="244"/>
      <c r="C115" s="244"/>
      <c r="D115" s="181"/>
      <c r="E115" s="51"/>
      <c r="F115" s="1"/>
      <c r="G115" s="1"/>
      <c r="H115" s="1"/>
      <c r="I115" s="10"/>
      <c r="J115" s="10"/>
      <c r="K115" s="1"/>
      <c r="L115" s="1"/>
      <c r="M115" s="1"/>
      <c r="N115" s="1"/>
      <c r="O115" s="1"/>
      <c r="P115" s="10"/>
      <c r="Q115" s="10"/>
      <c r="R115" s="1"/>
      <c r="S115" s="1"/>
      <c r="T115" s="1"/>
      <c r="U115" s="1"/>
      <c r="V115" s="1"/>
      <c r="W115" s="10"/>
      <c r="X115" s="10"/>
      <c r="Y115" s="1"/>
      <c r="Z115" s="1"/>
      <c r="AA115" s="1"/>
      <c r="AB115" s="1"/>
      <c r="AC115" s="1"/>
      <c r="AD115" s="10"/>
      <c r="AE115" s="10"/>
      <c r="AF115" s="1"/>
      <c r="AG115" s="1"/>
      <c r="AH115" s="1"/>
      <c r="AI115" s="5"/>
      <c r="AK115" s="128"/>
      <c r="AL115" s="48"/>
      <c r="AM115" s="26"/>
      <c r="AN115" s="29">
        <v>0</v>
      </c>
    </row>
    <row r="116" spans="2:40" ht="35.25" thickBot="1" x14ac:dyDescent="0.55000000000000004">
      <c r="AJ116" s="55"/>
      <c r="AK116" s="55"/>
      <c r="AL116" s="54" t="s">
        <v>11</v>
      </c>
      <c r="AM116" s="115"/>
      <c r="AN116" s="28"/>
    </row>
    <row r="117" spans="2:40" ht="35.25" thickBot="1" x14ac:dyDescent="0.55000000000000004">
      <c r="E117" s="194">
        <v>46569</v>
      </c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6"/>
      <c r="AJ117" s="55"/>
      <c r="AK117" s="55" t="s">
        <v>53</v>
      </c>
      <c r="AL117" s="53">
        <f>SUM(AL111-AN115)</f>
        <v>3</v>
      </c>
      <c r="AM117" s="115"/>
      <c r="AN117" s="24"/>
    </row>
    <row r="118" spans="2:40" x14ac:dyDescent="0.2">
      <c r="E118" s="16">
        <v>1</v>
      </c>
      <c r="F118" s="1">
        <v>2</v>
      </c>
      <c r="G118" s="10">
        <v>3</v>
      </c>
      <c r="H118" s="10">
        <v>4</v>
      </c>
      <c r="I118" s="1">
        <v>5</v>
      </c>
      <c r="J118" s="1">
        <v>6</v>
      </c>
      <c r="K118" s="1">
        <v>7</v>
      </c>
      <c r="L118" s="1">
        <v>8</v>
      </c>
      <c r="M118" s="1">
        <v>9</v>
      </c>
      <c r="N118" s="10">
        <v>10</v>
      </c>
      <c r="O118" s="10">
        <v>11</v>
      </c>
      <c r="P118" s="1">
        <v>12</v>
      </c>
      <c r="Q118" s="1">
        <v>13</v>
      </c>
      <c r="R118" s="1">
        <v>14</v>
      </c>
      <c r="S118" s="1">
        <v>15</v>
      </c>
      <c r="T118" s="1">
        <v>16</v>
      </c>
      <c r="U118" s="10">
        <v>17</v>
      </c>
      <c r="V118" s="10">
        <v>18</v>
      </c>
      <c r="W118" s="1">
        <v>19</v>
      </c>
      <c r="X118" s="1">
        <v>20</v>
      </c>
      <c r="Y118" s="1">
        <v>21</v>
      </c>
      <c r="Z118" s="1">
        <v>22</v>
      </c>
      <c r="AA118" s="1">
        <v>23</v>
      </c>
      <c r="AB118" s="10">
        <v>24</v>
      </c>
      <c r="AC118" s="10">
        <v>25</v>
      </c>
      <c r="AD118" s="1">
        <v>26</v>
      </c>
      <c r="AE118" s="1">
        <v>27</v>
      </c>
      <c r="AF118" s="1">
        <v>28</v>
      </c>
      <c r="AG118" s="1">
        <v>29</v>
      </c>
      <c r="AH118" s="1">
        <v>30</v>
      </c>
      <c r="AI118" s="14">
        <v>31</v>
      </c>
      <c r="AL118" s="49"/>
      <c r="AM118" s="23"/>
      <c r="AN118" s="24"/>
    </row>
    <row r="119" spans="2:40" x14ac:dyDescent="0.2">
      <c r="E119" s="20" t="s">
        <v>1</v>
      </c>
      <c r="F119" s="1"/>
      <c r="G119" s="10"/>
      <c r="H119" s="10"/>
      <c r="I119" s="1"/>
      <c r="J119" s="1"/>
      <c r="K119" s="1"/>
      <c r="L119" s="1"/>
      <c r="M119" s="1"/>
      <c r="N119" s="10"/>
      <c r="O119" s="10"/>
      <c r="P119" s="1"/>
      <c r="Q119" s="1"/>
      <c r="R119" s="1"/>
      <c r="S119" s="1"/>
      <c r="T119" s="1"/>
      <c r="U119" s="10"/>
      <c r="V119" s="10"/>
      <c r="W119" s="1"/>
      <c r="X119" s="1"/>
      <c r="Y119" s="1"/>
      <c r="Z119" s="1"/>
      <c r="AA119" s="1"/>
      <c r="AB119" s="10"/>
      <c r="AC119" s="10"/>
      <c r="AD119" s="1"/>
      <c r="AE119" s="1"/>
      <c r="AF119" s="1"/>
      <c r="AG119" s="1"/>
      <c r="AH119" s="1"/>
      <c r="AI119" s="14"/>
      <c r="AL119" s="47"/>
      <c r="AM119" s="23"/>
      <c r="AN119" s="24"/>
    </row>
    <row r="120" spans="2:40" x14ac:dyDescent="0.2">
      <c r="E120" s="16"/>
      <c r="F120" s="1"/>
      <c r="G120" s="10"/>
      <c r="H120" s="10"/>
      <c r="I120" s="1"/>
      <c r="J120" s="1"/>
      <c r="K120" s="1"/>
      <c r="L120" s="1"/>
      <c r="M120" s="1"/>
      <c r="N120" s="10"/>
      <c r="O120" s="10"/>
      <c r="P120" s="1"/>
      <c r="Q120" s="1"/>
      <c r="R120" s="1"/>
      <c r="S120" s="1"/>
      <c r="T120" s="1"/>
      <c r="U120" s="10"/>
      <c r="V120" s="10"/>
      <c r="W120" s="1"/>
      <c r="X120" s="1"/>
      <c r="Y120" s="1"/>
      <c r="Z120" s="1"/>
      <c r="AA120" s="1"/>
      <c r="AB120" s="10"/>
      <c r="AC120" s="10"/>
      <c r="AD120" s="1"/>
      <c r="AE120" s="1"/>
      <c r="AF120" s="1"/>
      <c r="AG120" s="1"/>
      <c r="AH120" s="1"/>
      <c r="AI120" s="14"/>
      <c r="AL120" s="47"/>
      <c r="AM120" s="23"/>
      <c r="AN120" s="24"/>
    </row>
    <row r="121" spans="2:40" ht="15.75" thickBot="1" x14ac:dyDescent="0.25">
      <c r="E121" s="17"/>
      <c r="F121" s="7"/>
      <c r="G121" s="11"/>
      <c r="H121" s="11"/>
      <c r="I121" s="7"/>
      <c r="J121" s="7"/>
      <c r="K121" s="7"/>
      <c r="L121" s="7"/>
      <c r="M121" s="7"/>
      <c r="N121" s="11"/>
      <c r="O121" s="11"/>
      <c r="P121" s="7"/>
      <c r="Q121" s="7"/>
      <c r="R121" s="7"/>
      <c r="S121" s="7"/>
      <c r="T121" s="7"/>
      <c r="U121" s="11"/>
      <c r="V121" s="11"/>
      <c r="W121" s="7"/>
      <c r="X121" s="7"/>
      <c r="Y121" s="7"/>
      <c r="Z121" s="7"/>
      <c r="AA121" s="7"/>
      <c r="AB121" s="11"/>
      <c r="AC121" s="11"/>
      <c r="AD121" s="7"/>
      <c r="AE121" s="7"/>
      <c r="AF121" s="7"/>
      <c r="AG121" s="7"/>
      <c r="AH121" s="7"/>
      <c r="AI121" s="15"/>
      <c r="AL121" s="47"/>
      <c r="AM121" s="23"/>
      <c r="AN121" s="24"/>
    </row>
    <row r="124" spans="2:40" x14ac:dyDescent="0.2">
      <c r="AD124">
        <v>21</v>
      </c>
    </row>
    <row r="125" spans="2:40" x14ac:dyDescent="0.2">
      <c r="AD125">
        <v>28</v>
      </c>
    </row>
    <row r="126" spans="2:40" x14ac:dyDescent="0.2">
      <c r="AD126">
        <v>31</v>
      </c>
    </row>
    <row r="127" spans="2:40" x14ac:dyDescent="0.2">
      <c r="AD127">
        <v>19</v>
      </c>
    </row>
    <row r="128" spans="2:40" x14ac:dyDescent="0.2">
      <c r="AD128">
        <f>SUM(AD124:AD127)</f>
        <v>99</v>
      </c>
    </row>
    <row r="132" spans="5:5" x14ac:dyDescent="0.2">
      <c r="E132" t="s">
        <v>20</v>
      </c>
    </row>
    <row r="133" spans="5:5" x14ac:dyDescent="0.2">
      <c r="E133" t="s">
        <v>21</v>
      </c>
    </row>
    <row r="134" spans="5:5" x14ac:dyDescent="0.2">
      <c r="E134" t="s">
        <v>22</v>
      </c>
    </row>
    <row r="135" spans="5:5" x14ac:dyDescent="0.2">
      <c r="E135" t="s">
        <v>23</v>
      </c>
    </row>
    <row r="136" spans="5:5" x14ac:dyDescent="0.2">
      <c r="E136" t="s">
        <v>24</v>
      </c>
    </row>
    <row r="137" spans="5:5" x14ac:dyDescent="0.2">
      <c r="E137" t="s">
        <v>25</v>
      </c>
    </row>
    <row r="138" spans="5:5" x14ac:dyDescent="0.2">
      <c r="E138" t="s">
        <v>26</v>
      </c>
    </row>
    <row r="139" spans="5:5" x14ac:dyDescent="0.2">
      <c r="E139" t="s">
        <v>27</v>
      </c>
    </row>
    <row r="140" spans="5:5" x14ac:dyDescent="0.2">
      <c r="E140" s="86" t="s">
        <v>28</v>
      </c>
    </row>
  </sheetData>
  <mergeCells count="79">
    <mergeCell ref="R60:T60"/>
    <mergeCell ref="U60:V60"/>
    <mergeCell ref="E15:AI15"/>
    <mergeCell ref="E1:AI1"/>
    <mergeCell ref="E4:AI4"/>
    <mergeCell ref="E8:AI8"/>
    <mergeCell ref="E11:AB11"/>
    <mergeCell ref="Q13:S13"/>
    <mergeCell ref="AC11:AI11"/>
    <mergeCell ref="E24:L24"/>
    <mergeCell ref="M24:X24"/>
    <mergeCell ref="AA24:AC24"/>
    <mergeCell ref="AD24:AF24"/>
    <mergeCell ref="H29:AG29"/>
    <mergeCell ref="F17:N17"/>
    <mergeCell ref="O17:AF17"/>
    <mergeCell ref="Z18:AF18"/>
    <mergeCell ref="E21:AI21"/>
    <mergeCell ref="E23:AI23"/>
    <mergeCell ref="E27:AI27"/>
    <mergeCell ref="E29:G29"/>
    <mergeCell ref="E33:AI33"/>
    <mergeCell ref="F35:AI35"/>
    <mergeCell ref="M55:S55"/>
    <mergeCell ref="E39:AI39"/>
    <mergeCell ref="E41:AH41"/>
    <mergeCell ref="Q54:R54"/>
    <mergeCell ref="U54:W54"/>
    <mergeCell ref="X54:Y54"/>
    <mergeCell ref="F83:AI83"/>
    <mergeCell ref="B45:C115"/>
    <mergeCell ref="E45:AI45"/>
    <mergeCell ref="Q48:S48"/>
    <mergeCell ref="T48:U48"/>
    <mergeCell ref="X48:Y48"/>
    <mergeCell ref="AH48:AI48"/>
    <mergeCell ref="E51:AI51"/>
    <mergeCell ref="AD73:AE73"/>
    <mergeCell ref="E75:AI75"/>
    <mergeCell ref="K78:M78"/>
    <mergeCell ref="P72:Q72"/>
    <mergeCell ref="T72:V72"/>
    <mergeCell ref="W72:X72"/>
    <mergeCell ref="AA72:AE72"/>
    <mergeCell ref="E57:AI57"/>
    <mergeCell ref="N78:O78"/>
    <mergeCell ref="Y78:AI78"/>
    <mergeCell ref="E77:X77"/>
    <mergeCell ref="Y77:AI77"/>
    <mergeCell ref="BM64:CQ64"/>
    <mergeCell ref="I66:J66"/>
    <mergeCell ref="W66:Y66"/>
    <mergeCell ref="Z66:AA66"/>
    <mergeCell ref="E69:AI69"/>
    <mergeCell ref="E65:AI65"/>
    <mergeCell ref="E117:AI117"/>
    <mergeCell ref="E93:AI93"/>
    <mergeCell ref="E95:AI95"/>
    <mergeCell ref="E99:AI99"/>
    <mergeCell ref="E105:AI105"/>
    <mergeCell ref="E107:AI107"/>
    <mergeCell ref="F101:AH101"/>
    <mergeCell ref="E111:AI111"/>
    <mergeCell ref="D75:D79"/>
    <mergeCell ref="D69:D73"/>
    <mergeCell ref="V47:AC47"/>
    <mergeCell ref="D105:D109"/>
    <mergeCell ref="D99:D103"/>
    <mergeCell ref="D93:D97"/>
    <mergeCell ref="D87:D91"/>
    <mergeCell ref="D81:D85"/>
    <mergeCell ref="E71:AH71"/>
    <mergeCell ref="E59:AC59"/>
    <mergeCell ref="AF59:AH59"/>
    <mergeCell ref="E53:AH53"/>
    <mergeCell ref="E63:AI63"/>
    <mergeCell ref="E81:AI81"/>
    <mergeCell ref="E87:AI87"/>
    <mergeCell ref="E89:AF89"/>
  </mergeCells>
  <pageMargins left="0.7" right="0.7" top="0.75" bottom="0.75" header="0.3" footer="0.3"/>
  <pageSetup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5E3A-9672-F34A-9028-6A9BE413EC7A}">
  <sheetPr>
    <pageSetUpPr fitToPage="1"/>
  </sheetPr>
  <dimension ref="A1:CP140"/>
  <sheetViews>
    <sheetView topLeftCell="A52" zoomScale="80" zoomScaleNormal="80" workbookViewId="0">
      <selection activeCell="D96" sqref="D96"/>
    </sheetView>
  </sheetViews>
  <sheetFormatPr defaultRowHeight="15" x14ac:dyDescent="0.2"/>
  <cols>
    <col min="20" max="20" width="10.625" customWidth="1"/>
    <col min="35" max="35" width="15.19921875" style="162" customWidth="1"/>
    <col min="36" max="36" width="15.46875" style="162" customWidth="1"/>
    <col min="37" max="37" width="13.5859375" style="50" bestFit="1" customWidth="1"/>
    <col min="38" max="38" width="8.609375" style="162"/>
    <col min="39" max="39" width="8.609375" style="25"/>
  </cols>
  <sheetData>
    <row r="1" spans="4:39" x14ac:dyDescent="0.2">
      <c r="D1" s="194">
        <v>45992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6"/>
      <c r="AK1" s="47">
        <v>68</v>
      </c>
      <c r="AL1" s="23"/>
      <c r="AM1" s="24"/>
    </row>
    <row r="2" spans="4:39" x14ac:dyDescent="0.2">
      <c r="D2" s="111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3"/>
      <c r="AK2" s="47"/>
      <c r="AL2" s="23"/>
      <c r="AM2" s="24"/>
    </row>
    <row r="3" spans="4:39" x14ac:dyDescent="0.2">
      <c r="D3" s="30">
        <v>1</v>
      </c>
      <c r="E3" s="31">
        <v>2</v>
      </c>
      <c r="F3" s="31">
        <v>3</v>
      </c>
      <c r="G3" s="31">
        <v>4</v>
      </c>
      <c r="H3" s="31">
        <v>5</v>
      </c>
      <c r="I3" s="10">
        <v>6</v>
      </c>
      <c r="J3" s="10">
        <v>7</v>
      </c>
      <c r="K3" s="31">
        <v>8</v>
      </c>
      <c r="L3" s="31">
        <v>9</v>
      </c>
      <c r="M3" s="31">
        <v>10</v>
      </c>
      <c r="N3" s="31">
        <v>11</v>
      </c>
      <c r="O3" s="31">
        <v>12</v>
      </c>
      <c r="P3" s="10">
        <v>13</v>
      </c>
      <c r="Q3" s="10">
        <v>14</v>
      </c>
      <c r="R3" s="31">
        <v>15</v>
      </c>
      <c r="S3" s="31">
        <v>16</v>
      </c>
      <c r="T3" s="31">
        <v>17</v>
      </c>
      <c r="U3" s="31">
        <v>18</v>
      </c>
      <c r="V3" s="31">
        <v>19</v>
      </c>
      <c r="W3" s="10">
        <v>20</v>
      </c>
      <c r="X3" s="10">
        <v>21</v>
      </c>
      <c r="Y3" s="31">
        <v>22</v>
      </c>
      <c r="Z3" s="31">
        <v>23</v>
      </c>
      <c r="AA3" s="31">
        <v>24</v>
      </c>
      <c r="AB3" s="31">
        <v>25</v>
      </c>
      <c r="AC3" s="31">
        <v>26</v>
      </c>
      <c r="AD3" s="10">
        <v>27</v>
      </c>
      <c r="AE3" s="10">
        <v>28</v>
      </c>
      <c r="AF3" s="31">
        <v>29</v>
      </c>
      <c r="AG3" s="31">
        <v>30</v>
      </c>
      <c r="AH3" s="34">
        <v>31</v>
      </c>
      <c r="AK3" s="47"/>
      <c r="AL3" s="23"/>
      <c r="AM3" s="24"/>
    </row>
    <row r="4" spans="4:39" x14ac:dyDescent="0.2">
      <c r="D4" s="223" t="s">
        <v>5</v>
      </c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5"/>
      <c r="AK4" s="47"/>
      <c r="AL4" s="23"/>
      <c r="AM4" s="24"/>
    </row>
    <row r="5" spans="4:39" ht="15.75" thickBot="1" x14ac:dyDescent="0.25">
      <c r="D5" s="30"/>
      <c r="E5" s="31"/>
      <c r="F5" s="31"/>
      <c r="G5" s="31"/>
      <c r="H5" s="31"/>
      <c r="I5" s="10"/>
      <c r="J5" s="10"/>
      <c r="K5" s="31"/>
      <c r="L5" s="31"/>
      <c r="M5" s="31"/>
      <c r="N5" s="31"/>
      <c r="O5" s="31"/>
      <c r="P5" s="10"/>
      <c r="Q5" s="10"/>
      <c r="R5" s="31"/>
      <c r="S5" s="31"/>
      <c r="T5" s="31"/>
      <c r="U5" s="31"/>
      <c r="V5" s="31"/>
      <c r="W5" s="10"/>
      <c r="X5" s="10"/>
      <c r="Y5" s="31"/>
      <c r="Z5" s="31"/>
      <c r="AA5" s="31"/>
      <c r="AB5" s="31"/>
      <c r="AC5" s="31"/>
      <c r="AD5" s="10"/>
      <c r="AE5" s="10"/>
      <c r="AF5" s="31"/>
      <c r="AG5" s="31"/>
      <c r="AH5" s="34"/>
      <c r="AK5" s="47"/>
      <c r="AL5" s="23"/>
      <c r="AM5" s="24"/>
    </row>
    <row r="6" spans="4:39" ht="15.75" thickBot="1" x14ac:dyDescent="0.25">
      <c r="D6" s="32"/>
      <c r="E6" s="33"/>
      <c r="F6" s="33"/>
      <c r="G6" s="33"/>
      <c r="H6" s="33"/>
      <c r="I6" s="11"/>
      <c r="J6" s="11"/>
      <c r="K6" s="33"/>
      <c r="L6" s="33"/>
      <c r="M6" s="33"/>
      <c r="N6" s="33"/>
      <c r="O6" s="33"/>
      <c r="P6" s="11"/>
      <c r="Q6" s="11"/>
      <c r="R6" s="33"/>
      <c r="S6" s="33"/>
      <c r="T6" s="33"/>
      <c r="U6" s="33"/>
      <c r="V6" s="33"/>
      <c r="W6" s="11"/>
      <c r="X6" s="11"/>
      <c r="Y6" s="33"/>
      <c r="Z6" s="33"/>
      <c r="AA6" s="33"/>
      <c r="AB6" s="33"/>
      <c r="AC6" s="33"/>
      <c r="AD6" s="11"/>
      <c r="AE6" s="11"/>
      <c r="AF6" s="33"/>
      <c r="AG6" s="33"/>
      <c r="AH6" s="35"/>
      <c r="AK6" s="47"/>
      <c r="AL6" s="23"/>
      <c r="AM6" s="29">
        <v>0</v>
      </c>
    </row>
    <row r="7" spans="4:39" ht="15.75" thickBot="1" x14ac:dyDescent="0.25">
      <c r="AK7" s="47"/>
      <c r="AL7" s="23"/>
      <c r="AM7" s="24"/>
    </row>
    <row r="8" spans="4:39" x14ac:dyDescent="0.2">
      <c r="D8" s="194">
        <v>46023</v>
      </c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6"/>
      <c r="AK8" s="47">
        <f>SUM(AK1+2.5-AM6)</f>
        <v>70.5</v>
      </c>
      <c r="AL8" s="23"/>
      <c r="AM8" s="24"/>
    </row>
    <row r="9" spans="4:39" x14ac:dyDescent="0.2">
      <c r="D9" s="111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3"/>
      <c r="AK9" s="47"/>
      <c r="AL9" s="23"/>
      <c r="AM9" s="24"/>
    </row>
    <row r="10" spans="4:39" x14ac:dyDescent="0.2">
      <c r="D10" s="30">
        <v>1</v>
      </c>
      <c r="E10" s="31">
        <v>2</v>
      </c>
      <c r="F10" s="38">
        <v>3</v>
      </c>
      <c r="G10" s="38">
        <v>4</v>
      </c>
      <c r="H10" s="31">
        <v>5</v>
      </c>
      <c r="I10" s="31">
        <v>6</v>
      </c>
      <c r="J10" s="31">
        <v>7</v>
      </c>
      <c r="K10" s="31">
        <v>8</v>
      </c>
      <c r="L10" s="31">
        <v>9</v>
      </c>
      <c r="M10" s="38">
        <v>10</v>
      </c>
      <c r="N10" s="38">
        <v>11</v>
      </c>
      <c r="O10" s="31">
        <v>12</v>
      </c>
      <c r="P10" s="31">
        <v>13</v>
      </c>
      <c r="Q10" s="31">
        <v>14</v>
      </c>
      <c r="R10" s="31">
        <v>15</v>
      </c>
      <c r="S10" s="31">
        <v>16</v>
      </c>
      <c r="T10" s="38">
        <v>17</v>
      </c>
      <c r="U10" s="38">
        <v>18</v>
      </c>
      <c r="V10" s="31">
        <v>19</v>
      </c>
      <c r="W10" s="31">
        <v>20</v>
      </c>
      <c r="X10" s="31">
        <v>21</v>
      </c>
      <c r="Y10" s="31">
        <v>22</v>
      </c>
      <c r="Z10" s="31">
        <v>23</v>
      </c>
      <c r="AA10" s="38">
        <v>24</v>
      </c>
      <c r="AB10" s="38">
        <v>25</v>
      </c>
      <c r="AC10" s="31">
        <v>26</v>
      </c>
      <c r="AD10" s="31">
        <v>27</v>
      </c>
      <c r="AE10" s="31">
        <v>28</v>
      </c>
      <c r="AF10" s="31">
        <v>29</v>
      </c>
      <c r="AG10" s="31">
        <v>30</v>
      </c>
      <c r="AH10" s="40">
        <v>31</v>
      </c>
      <c r="AK10" s="47"/>
      <c r="AL10" s="23"/>
      <c r="AM10" s="24"/>
    </row>
    <row r="11" spans="4:39" x14ac:dyDescent="0.2">
      <c r="D11" s="223" t="s">
        <v>5</v>
      </c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6"/>
      <c r="AB11" s="227" t="s">
        <v>37</v>
      </c>
      <c r="AC11" s="228"/>
      <c r="AD11" s="228"/>
      <c r="AE11" s="228"/>
      <c r="AF11" s="228"/>
      <c r="AG11" s="228"/>
      <c r="AH11" s="229"/>
      <c r="AK11" s="47"/>
      <c r="AL11" s="23"/>
      <c r="AM11" s="24"/>
    </row>
    <row r="12" spans="4:39" ht="15.75" thickBot="1" x14ac:dyDescent="0.25">
      <c r="D12" s="30"/>
      <c r="E12" s="31"/>
      <c r="F12" s="38"/>
      <c r="G12" s="38"/>
      <c r="H12" s="31"/>
      <c r="I12" s="31"/>
      <c r="J12" s="31"/>
      <c r="K12" s="31"/>
      <c r="L12" s="31"/>
      <c r="M12" s="38"/>
      <c r="N12" s="38"/>
      <c r="O12" s="31"/>
      <c r="P12" s="31"/>
      <c r="Q12" s="31"/>
      <c r="R12" s="31"/>
      <c r="S12" s="31"/>
      <c r="T12" s="38"/>
      <c r="U12" s="38"/>
      <c r="V12" s="31"/>
      <c r="W12" s="31"/>
      <c r="X12" s="31"/>
      <c r="Y12" s="31"/>
      <c r="Z12" s="33"/>
      <c r="AA12" s="39"/>
      <c r="AB12" s="39"/>
      <c r="AC12" s="33"/>
      <c r="AD12" s="33"/>
      <c r="AE12" s="33"/>
      <c r="AF12" s="33"/>
      <c r="AG12" s="33"/>
      <c r="AH12" s="41"/>
      <c r="AK12" s="47"/>
      <c r="AL12" s="23"/>
      <c r="AM12" s="24"/>
    </row>
    <row r="13" spans="4:39" ht="15.75" thickBot="1" x14ac:dyDescent="0.25">
      <c r="D13" s="32"/>
      <c r="E13" s="33"/>
      <c r="F13" s="39"/>
      <c r="G13" s="39"/>
      <c r="H13" s="33"/>
      <c r="I13" s="33"/>
      <c r="J13" s="33"/>
      <c r="K13" s="33"/>
      <c r="L13" s="33"/>
      <c r="M13" s="39"/>
      <c r="N13" s="39"/>
      <c r="O13" s="45"/>
      <c r="P13" s="221" t="s">
        <v>8</v>
      </c>
      <c r="Q13" s="222"/>
      <c r="R13" s="222"/>
      <c r="S13" s="46"/>
      <c r="T13" s="39"/>
      <c r="U13" s="39"/>
      <c r="V13" s="33"/>
      <c r="W13" s="33"/>
      <c r="X13" s="33"/>
      <c r="Y13" s="33"/>
      <c r="Z13" s="33"/>
      <c r="AA13" s="39"/>
      <c r="AB13" s="39"/>
      <c r="AC13" s="33"/>
      <c r="AD13" s="33"/>
      <c r="AE13" s="33"/>
      <c r="AF13" s="33"/>
      <c r="AG13" s="33"/>
      <c r="AH13" s="41"/>
      <c r="AK13" s="47"/>
      <c r="AL13" s="23"/>
      <c r="AM13" s="29">
        <v>7</v>
      </c>
    </row>
    <row r="14" spans="4:39" ht="15.75" thickBot="1" x14ac:dyDescent="0.25">
      <c r="AK14" s="47"/>
      <c r="AL14" s="23"/>
      <c r="AM14" s="24"/>
    </row>
    <row r="15" spans="4:39" x14ac:dyDescent="0.2">
      <c r="D15" s="194">
        <v>46054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6"/>
      <c r="AK15" s="47">
        <f>SUM(AK8+2.5-AM13)</f>
        <v>66</v>
      </c>
      <c r="AL15" s="23"/>
      <c r="AM15" s="24"/>
    </row>
    <row r="16" spans="4:39" x14ac:dyDescent="0.2">
      <c r="D16" s="42">
        <v>1</v>
      </c>
      <c r="E16" s="1">
        <v>2</v>
      </c>
      <c r="F16" s="1">
        <v>3</v>
      </c>
      <c r="G16" s="1">
        <v>4</v>
      </c>
      <c r="H16" s="31">
        <v>5</v>
      </c>
      <c r="I16" s="31">
        <v>6</v>
      </c>
      <c r="J16" s="38">
        <v>7</v>
      </c>
      <c r="K16" s="38">
        <v>8</v>
      </c>
      <c r="L16" s="31">
        <v>9</v>
      </c>
      <c r="M16" s="31">
        <v>10</v>
      </c>
      <c r="N16" s="31">
        <v>11</v>
      </c>
      <c r="O16" s="31">
        <v>12</v>
      </c>
      <c r="P16" s="31">
        <v>13</v>
      </c>
      <c r="Q16" s="38">
        <v>14</v>
      </c>
      <c r="R16" s="38">
        <v>15</v>
      </c>
      <c r="S16" s="31">
        <v>16</v>
      </c>
      <c r="T16" s="31">
        <v>17</v>
      </c>
      <c r="U16" s="31">
        <v>18</v>
      </c>
      <c r="V16" s="31">
        <v>19</v>
      </c>
      <c r="W16" s="31">
        <v>20</v>
      </c>
      <c r="X16" s="38">
        <v>21</v>
      </c>
      <c r="Y16" s="38">
        <v>22</v>
      </c>
      <c r="Z16" s="31">
        <v>23</v>
      </c>
      <c r="AA16" s="31">
        <v>24</v>
      </c>
      <c r="AB16" s="31">
        <v>25</v>
      </c>
      <c r="AC16" s="31">
        <v>26</v>
      </c>
      <c r="AD16" s="31">
        <v>27</v>
      </c>
      <c r="AE16" s="38">
        <v>28</v>
      </c>
      <c r="AF16" s="38">
        <v>29</v>
      </c>
      <c r="AG16" s="1"/>
      <c r="AH16" s="5"/>
      <c r="AK16" s="47"/>
      <c r="AL16" s="23"/>
      <c r="AM16" s="24"/>
    </row>
    <row r="17" spans="4:41" x14ac:dyDescent="0.2">
      <c r="D17" s="18"/>
      <c r="E17" s="233" t="s">
        <v>5</v>
      </c>
      <c r="F17" s="224"/>
      <c r="G17" s="224"/>
      <c r="H17" s="224"/>
      <c r="I17" s="224"/>
      <c r="J17" s="224"/>
      <c r="K17" s="224"/>
      <c r="L17" s="224"/>
      <c r="M17" s="226"/>
      <c r="N17" s="234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6"/>
      <c r="AF17" s="38"/>
      <c r="AG17" s="1"/>
      <c r="AH17" s="5"/>
      <c r="AK17" s="47"/>
      <c r="AL17" s="23"/>
      <c r="AM17" s="24"/>
    </row>
    <row r="18" spans="4:41" ht="15.75" thickBot="1" x14ac:dyDescent="0.25">
      <c r="D18" s="18" t="s">
        <v>4</v>
      </c>
      <c r="E18" s="1"/>
      <c r="F18" s="1"/>
      <c r="G18" s="1"/>
      <c r="H18" s="31"/>
      <c r="I18" s="31"/>
      <c r="J18" s="38"/>
      <c r="K18" s="38"/>
      <c r="L18" s="31"/>
      <c r="M18" s="31"/>
      <c r="N18" s="31"/>
      <c r="O18" s="31"/>
      <c r="P18" s="31"/>
      <c r="Q18" s="38"/>
      <c r="R18" s="38"/>
      <c r="S18" s="31"/>
      <c r="T18" s="31"/>
      <c r="U18" s="31"/>
      <c r="V18" s="31"/>
      <c r="W18" s="31"/>
      <c r="X18" s="38"/>
      <c r="Y18" s="237" t="s">
        <v>7</v>
      </c>
      <c r="Z18" s="238"/>
      <c r="AA18" s="238"/>
      <c r="AB18" s="238"/>
      <c r="AC18" s="238"/>
      <c r="AD18" s="238"/>
      <c r="AE18" s="238"/>
      <c r="AF18" s="110"/>
      <c r="AG18" s="1"/>
      <c r="AH18" s="5"/>
      <c r="AK18" s="47"/>
      <c r="AL18" s="23"/>
      <c r="AM18" s="24"/>
    </row>
    <row r="19" spans="4:41" ht="15.75" thickBot="1" x14ac:dyDescent="0.25">
      <c r="D19" s="19"/>
      <c r="E19" s="7"/>
      <c r="F19" s="7"/>
      <c r="G19" s="7"/>
      <c r="H19" s="33"/>
      <c r="I19" s="33"/>
      <c r="J19" s="39"/>
      <c r="K19" s="39"/>
      <c r="L19" s="22" t="s">
        <v>9</v>
      </c>
      <c r="M19" s="33"/>
      <c r="N19" s="33"/>
      <c r="O19" s="33"/>
      <c r="P19" s="33"/>
      <c r="Q19" s="39"/>
      <c r="R19" s="39"/>
      <c r="S19" s="33"/>
      <c r="T19" s="33"/>
      <c r="U19" s="33"/>
      <c r="V19" s="33"/>
      <c r="W19" s="33"/>
      <c r="X19" s="39"/>
      <c r="Y19" s="39"/>
      <c r="Z19" s="33"/>
      <c r="AA19" s="33"/>
      <c r="AB19" s="33"/>
      <c r="AC19" s="33"/>
      <c r="AD19" s="33"/>
      <c r="AE19" s="39"/>
      <c r="AF19" s="39"/>
      <c r="AG19" s="7"/>
      <c r="AH19" s="8"/>
      <c r="AK19" s="47"/>
      <c r="AL19" s="23"/>
      <c r="AM19" s="29">
        <v>1</v>
      </c>
    </row>
    <row r="20" spans="4:41" ht="15.75" thickBot="1" x14ac:dyDescent="0.25">
      <c r="AK20" s="47"/>
      <c r="AL20" s="23"/>
      <c r="AM20" s="28"/>
    </row>
    <row r="21" spans="4:41" x14ac:dyDescent="0.2">
      <c r="D21" s="194">
        <v>46082</v>
      </c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6"/>
      <c r="AJ21" s="162" t="s">
        <v>0</v>
      </c>
      <c r="AK21" s="47">
        <f>SUM(AK15+2.5-AM19)</f>
        <v>67.5</v>
      </c>
      <c r="AL21" s="23"/>
      <c r="AM21" s="24"/>
    </row>
    <row r="22" spans="4:41" x14ac:dyDescent="0.2">
      <c r="D22" s="42">
        <v>1</v>
      </c>
      <c r="E22" s="1">
        <v>2</v>
      </c>
      <c r="F22" s="31">
        <v>3</v>
      </c>
      <c r="G22" s="31">
        <v>4</v>
      </c>
      <c r="H22" s="31">
        <v>5</v>
      </c>
      <c r="I22" s="31">
        <v>6</v>
      </c>
      <c r="J22" s="38">
        <v>7</v>
      </c>
      <c r="K22" s="38">
        <v>8</v>
      </c>
      <c r="L22" s="31">
        <v>9</v>
      </c>
      <c r="M22" s="31">
        <v>10</v>
      </c>
      <c r="N22" s="31">
        <v>11</v>
      </c>
      <c r="O22" s="31">
        <v>12</v>
      </c>
      <c r="P22" s="31">
        <v>13</v>
      </c>
      <c r="Q22" s="38">
        <v>14</v>
      </c>
      <c r="R22" s="38">
        <v>15</v>
      </c>
      <c r="S22" s="31">
        <v>16</v>
      </c>
      <c r="T22" s="31">
        <v>17</v>
      </c>
      <c r="U22" s="31">
        <v>18</v>
      </c>
      <c r="V22" s="31">
        <v>19</v>
      </c>
      <c r="W22" s="31">
        <v>20</v>
      </c>
      <c r="X22" s="38">
        <v>21</v>
      </c>
      <c r="Y22" s="38">
        <v>22</v>
      </c>
      <c r="Z22" s="31">
        <v>23</v>
      </c>
      <c r="AA22" s="31">
        <v>24</v>
      </c>
      <c r="AB22" s="31">
        <v>25</v>
      </c>
      <c r="AC22" s="31">
        <v>26</v>
      </c>
      <c r="AD22" s="31">
        <v>27</v>
      </c>
      <c r="AE22" s="38">
        <v>28</v>
      </c>
      <c r="AF22" s="38">
        <v>29</v>
      </c>
      <c r="AG22" s="31">
        <v>30</v>
      </c>
      <c r="AH22" s="34">
        <v>31</v>
      </c>
      <c r="AK22" s="47"/>
      <c r="AL22" s="23"/>
      <c r="AM22" s="24"/>
    </row>
    <row r="23" spans="4:41" x14ac:dyDescent="0.2">
      <c r="D23" s="223" t="s">
        <v>5</v>
      </c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5"/>
      <c r="AK23" s="47"/>
      <c r="AL23" s="23"/>
      <c r="AM23" s="24"/>
    </row>
    <row r="24" spans="4:41" ht="15.75" thickBot="1" x14ac:dyDescent="0.25">
      <c r="D24" s="237" t="s">
        <v>6</v>
      </c>
      <c r="E24" s="239"/>
      <c r="F24" s="239"/>
      <c r="G24" s="239"/>
      <c r="H24" s="239"/>
      <c r="I24" s="239"/>
      <c r="J24" s="239"/>
      <c r="K24" s="240"/>
      <c r="L24" s="241" t="s">
        <v>10</v>
      </c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3"/>
      <c r="X24" s="38"/>
      <c r="Y24" s="38"/>
      <c r="Z24" s="237" t="s">
        <v>13</v>
      </c>
      <c r="AA24" s="239"/>
      <c r="AB24" s="239"/>
      <c r="AC24" s="237" t="s">
        <v>14</v>
      </c>
      <c r="AD24" s="239"/>
      <c r="AE24" s="239"/>
      <c r="AF24" s="39"/>
      <c r="AG24" s="31"/>
      <c r="AH24" s="34"/>
      <c r="AK24" s="47"/>
      <c r="AL24" s="23"/>
      <c r="AM24" s="24"/>
    </row>
    <row r="25" spans="4:41" ht="15.75" thickBot="1" x14ac:dyDescent="0.25">
      <c r="D25" s="43"/>
      <c r="E25" s="7"/>
      <c r="F25" s="33"/>
      <c r="G25" s="33"/>
      <c r="H25" s="33"/>
      <c r="I25" s="33"/>
      <c r="J25" s="39"/>
      <c r="K25" s="39"/>
      <c r="L25" s="33"/>
      <c r="M25" s="33"/>
      <c r="N25" s="33"/>
      <c r="O25" s="33"/>
      <c r="P25" s="33"/>
      <c r="Q25" s="39"/>
      <c r="R25" s="39"/>
      <c r="S25" s="33"/>
      <c r="T25" s="33"/>
      <c r="U25" s="33"/>
      <c r="V25" s="33"/>
      <c r="W25" s="33"/>
      <c r="X25" s="39"/>
      <c r="Y25" s="39"/>
      <c r="Z25" s="33"/>
      <c r="AA25" s="33"/>
      <c r="AB25" s="33"/>
      <c r="AC25" s="33"/>
      <c r="AD25" s="33"/>
      <c r="AE25" s="39"/>
      <c r="AF25" s="39"/>
      <c r="AG25" s="33"/>
      <c r="AH25" s="35"/>
      <c r="AK25" s="47"/>
      <c r="AL25" s="23"/>
      <c r="AM25" s="29">
        <v>0</v>
      </c>
    </row>
    <row r="26" spans="4:41" ht="30" thickBot="1" x14ac:dyDescent="0.4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K26" s="47"/>
      <c r="AL26" s="23"/>
      <c r="AM26" s="28"/>
      <c r="AO26" s="126" t="s">
        <v>42</v>
      </c>
    </row>
    <row r="27" spans="4:41" ht="30" thickBot="1" x14ac:dyDescent="0.45">
      <c r="D27" s="190">
        <v>46113</v>
      </c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2"/>
      <c r="AG27" s="192"/>
      <c r="AH27" s="193"/>
      <c r="AJ27" s="162" t="s">
        <v>50</v>
      </c>
      <c r="AK27" s="47">
        <v>69</v>
      </c>
      <c r="AL27" s="23"/>
      <c r="AM27" s="24"/>
      <c r="AO27" s="126">
        <v>23</v>
      </c>
    </row>
    <row r="28" spans="4:41" ht="29.25" x14ac:dyDescent="0.4">
      <c r="D28" s="36">
        <v>1</v>
      </c>
      <c r="E28" s="37">
        <v>2</v>
      </c>
      <c r="F28" s="37">
        <v>3</v>
      </c>
      <c r="G28" s="44">
        <v>4</v>
      </c>
      <c r="H28" s="44">
        <v>5</v>
      </c>
      <c r="I28" s="37">
        <v>6</v>
      </c>
      <c r="J28" s="37">
        <v>7</v>
      </c>
      <c r="K28" s="37">
        <v>8</v>
      </c>
      <c r="L28" s="37">
        <v>9</v>
      </c>
      <c r="M28" s="37">
        <v>10</v>
      </c>
      <c r="N28" s="44">
        <v>11</v>
      </c>
      <c r="O28" s="44">
        <v>12</v>
      </c>
      <c r="P28" s="37">
        <v>13</v>
      </c>
      <c r="Q28" s="37">
        <v>14</v>
      </c>
      <c r="R28" s="37">
        <v>15</v>
      </c>
      <c r="S28" s="37">
        <v>16</v>
      </c>
      <c r="T28" s="37">
        <v>17</v>
      </c>
      <c r="U28" s="44">
        <v>18</v>
      </c>
      <c r="V28" s="44">
        <v>19</v>
      </c>
      <c r="W28" s="37">
        <v>20</v>
      </c>
      <c r="X28" s="37">
        <v>21</v>
      </c>
      <c r="Y28" s="37">
        <v>22</v>
      </c>
      <c r="Z28" s="37">
        <v>23</v>
      </c>
      <c r="AA28" s="37">
        <v>24</v>
      </c>
      <c r="AB28" s="44">
        <v>25</v>
      </c>
      <c r="AC28" s="44">
        <v>26</v>
      </c>
      <c r="AD28" s="37">
        <v>27</v>
      </c>
      <c r="AE28" s="37">
        <v>28</v>
      </c>
      <c r="AF28" s="37">
        <v>29</v>
      </c>
      <c r="AG28" s="2">
        <v>30</v>
      </c>
      <c r="AH28" s="3"/>
      <c r="AK28" s="47"/>
      <c r="AL28" s="23"/>
      <c r="AM28" s="24"/>
      <c r="AO28" s="126"/>
    </row>
    <row r="29" spans="4:41" ht="29.25" x14ac:dyDescent="0.4">
      <c r="D29" s="230" t="s">
        <v>19</v>
      </c>
      <c r="E29" s="231"/>
      <c r="F29" s="232"/>
      <c r="G29" s="223" t="s">
        <v>5</v>
      </c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157" t="s">
        <v>87</v>
      </c>
      <c r="AH29" s="71"/>
      <c r="AK29" s="47"/>
      <c r="AL29" s="23"/>
      <c r="AM29" s="24"/>
      <c r="AO29" s="126"/>
    </row>
    <row r="30" spans="4:41" ht="30" thickBot="1" x14ac:dyDescent="0.45">
      <c r="D30" s="30"/>
      <c r="E30" s="31"/>
      <c r="F30" s="31"/>
      <c r="G30" s="38"/>
      <c r="H30" s="38"/>
      <c r="I30" s="31"/>
      <c r="J30" s="31"/>
      <c r="K30" s="31"/>
      <c r="L30" s="31"/>
      <c r="M30" s="31"/>
      <c r="N30" s="38"/>
      <c r="O30" s="38"/>
      <c r="P30" s="31"/>
      <c r="Q30" s="31"/>
      <c r="R30" s="31"/>
      <c r="S30" s="31"/>
      <c r="T30" s="31"/>
      <c r="U30" s="38"/>
      <c r="V30" s="38"/>
      <c r="W30" s="33"/>
      <c r="X30" s="33"/>
      <c r="Y30" s="33"/>
      <c r="Z30" s="33"/>
      <c r="AA30" s="33"/>
      <c r="AB30" s="39"/>
      <c r="AC30" s="39"/>
      <c r="AD30" s="33"/>
      <c r="AE30" s="33"/>
      <c r="AF30" s="33"/>
      <c r="AG30" s="7"/>
      <c r="AH30" s="8"/>
      <c r="AK30" s="47"/>
      <c r="AL30" s="23"/>
      <c r="AM30" s="24"/>
      <c r="AO30" s="126"/>
    </row>
    <row r="31" spans="4:41" ht="30" thickBot="1" x14ac:dyDescent="0.45">
      <c r="D31" s="32"/>
      <c r="E31" s="33"/>
      <c r="F31" s="33"/>
      <c r="G31" s="39"/>
      <c r="H31" s="39"/>
      <c r="I31" s="33"/>
      <c r="J31" s="33"/>
      <c r="K31" s="33"/>
      <c r="L31" s="33"/>
      <c r="M31" s="33"/>
      <c r="N31" s="39"/>
      <c r="O31" s="39"/>
      <c r="P31" s="33"/>
      <c r="Q31" s="33"/>
      <c r="R31" s="33"/>
      <c r="S31" s="33"/>
      <c r="T31" s="33"/>
      <c r="U31" s="39"/>
      <c r="V31" s="39"/>
      <c r="W31" s="33"/>
      <c r="X31" s="33"/>
      <c r="Y31" s="33"/>
      <c r="Z31" s="33"/>
      <c r="AA31" s="33"/>
      <c r="AB31" s="39"/>
      <c r="AC31" s="39"/>
      <c r="AD31" s="33"/>
      <c r="AE31" s="33"/>
      <c r="AF31" s="33"/>
      <c r="AG31" s="7"/>
      <c r="AH31" s="8"/>
      <c r="AK31" s="47"/>
      <c r="AL31" s="23"/>
      <c r="AM31" s="29">
        <v>4</v>
      </c>
      <c r="AO31" s="126">
        <f>SUM(AO27-AM31)</f>
        <v>19</v>
      </c>
    </row>
    <row r="32" spans="4:41" ht="30" thickBot="1" x14ac:dyDescent="0.45">
      <c r="AK32" s="47"/>
      <c r="AL32" s="23"/>
      <c r="AM32" s="24"/>
      <c r="AO32" s="126"/>
    </row>
    <row r="33" spans="2:41" ht="29.25" x14ac:dyDescent="0.4">
      <c r="D33" s="194">
        <v>46143</v>
      </c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6"/>
      <c r="AJ33" s="162" t="s">
        <v>51</v>
      </c>
      <c r="AK33" s="47">
        <f>SUM(AK27+2.5-AM31)</f>
        <v>67.5</v>
      </c>
      <c r="AL33" s="23"/>
      <c r="AM33" s="24"/>
      <c r="AO33" s="126"/>
    </row>
    <row r="34" spans="2:41" ht="29.25" x14ac:dyDescent="0.4">
      <c r="D34" s="4">
        <v>1</v>
      </c>
      <c r="E34" s="38">
        <v>2</v>
      </c>
      <c r="F34" s="38">
        <v>3</v>
      </c>
      <c r="G34" s="31">
        <v>4</v>
      </c>
      <c r="H34" s="31">
        <v>5</v>
      </c>
      <c r="I34" s="31">
        <v>6</v>
      </c>
      <c r="J34" s="31">
        <v>7</v>
      </c>
      <c r="K34" s="31">
        <v>8</v>
      </c>
      <c r="L34" s="38">
        <v>9</v>
      </c>
      <c r="M34" s="38">
        <v>10</v>
      </c>
      <c r="N34" s="31">
        <v>11</v>
      </c>
      <c r="O34" s="31">
        <v>12</v>
      </c>
      <c r="P34" s="31">
        <v>13</v>
      </c>
      <c r="Q34" s="31">
        <v>14</v>
      </c>
      <c r="R34" s="31">
        <v>15</v>
      </c>
      <c r="S34" s="38">
        <v>16</v>
      </c>
      <c r="T34" s="38">
        <v>17</v>
      </c>
      <c r="U34" s="31">
        <v>18</v>
      </c>
      <c r="V34" s="31">
        <v>19</v>
      </c>
      <c r="W34" s="31">
        <v>20</v>
      </c>
      <c r="X34" s="31">
        <v>21</v>
      </c>
      <c r="Y34" s="31">
        <v>22</v>
      </c>
      <c r="Z34" s="38">
        <v>23</v>
      </c>
      <c r="AA34" s="38">
        <v>24</v>
      </c>
      <c r="AB34" s="31">
        <v>25</v>
      </c>
      <c r="AC34" s="31">
        <v>26</v>
      </c>
      <c r="AD34" s="31">
        <v>27</v>
      </c>
      <c r="AE34" s="31">
        <v>28</v>
      </c>
      <c r="AF34" s="31">
        <v>29</v>
      </c>
      <c r="AG34" s="38">
        <v>30</v>
      </c>
      <c r="AH34" s="40">
        <v>31</v>
      </c>
      <c r="AK34" s="47"/>
      <c r="AL34" s="23"/>
      <c r="AM34" s="24"/>
      <c r="AO34" s="126"/>
    </row>
    <row r="35" spans="2:41" ht="29.25" x14ac:dyDescent="0.4">
      <c r="D35" s="158" t="s">
        <v>87</v>
      </c>
      <c r="E35" s="223" t="s">
        <v>5</v>
      </c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5"/>
      <c r="AK35" s="47"/>
      <c r="AL35" s="23"/>
      <c r="AM35" s="24"/>
      <c r="AO35" s="126"/>
    </row>
    <row r="36" spans="2:41" ht="30" thickBot="1" x14ac:dyDescent="0.45">
      <c r="D36" s="4"/>
      <c r="E36" s="38"/>
      <c r="F36" s="38"/>
      <c r="G36" s="31"/>
      <c r="H36" s="31"/>
      <c r="I36" s="31"/>
      <c r="J36" s="31"/>
      <c r="K36" s="31"/>
      <c r="L36" s="38"/>
      <c r="M36" s="38"/>
      <c r="N36" s="31"/>
      <c r="O36" s="31"/>
      <c r="P36" s="31"/>
      <c r="Q36" s="31"/>
      <c r="R36" s="31"/>
      <c r="S36" s="38"/>
      <c r="T36" s="38"/>
      <c r="U36" s="31"/>
      <c r="V36" s="31"/>
      <c r="W36" s="31"/>
      <c r="X36" s="31"/>
      <c r="Y36" s="31"/>
      <c r="Z36" s="38"/>
      <c r="AA36" s="38"/>
      <c r="AB36" s="31"/>
      <c r="AC36" s="31"/>
      <c r="AD36" s="31"/>
      <c r="AE36" s="31"/>
      <c r="AF36" s="31"/>
      <c r="AG36" s="38"/>
      <c r="AH36" s="40"/>
      <c r="AK36" s="47"/>
      <c r="AL36" s="23"/>
      <c r="AM36" s="24"/>
      <c r="AO36" s="126"/>
    </row>
    <row r="37" spans="2:41" ht="30" thickBot="1" x14ac:dyDescent="0.45">
      <c r="D37" s="6"/>
      <c r="E37" s="39"/>
      <c r="F37" s="39"/>
      <c r="G37" s="33"/>
      <c r="H37" s="33"/>
      <c r="I37" s="33"/>
      <c r="J37" s="33"/>
      <c r="K37" s="33"/>
      <c r="L37" s="39"/>
      <c r="M37" s="39"/>
      <c r="N37" s="33"/>
      <c r="O37" s="33"/>
      <c r="P37" s="33"/>
      <c r="Q37" s="33"/>
      <c r="R37" s="33"/>
      <c r="S37" s="39"/>
      <c r="T37" s="39"/>
      <c r="U37" s="33"/>
      <c r="V37" s="33"/>
      <c r="W37" s="33"/>
      <c r="X37" s="33"/>
      <c r="Y37" s="33"/>
      <c r="Z37" s="39"/>
      <c r="AA37" s="39"/>
      <c r="AB37" s="33"/>
      <c r="AC37" s="33"/>
      <c r="AD37" s="33"/>
      <c r="AE37" s="33"/>
      <c r="AF37" s="33"/>
      <c r="AG37" s="39"/>
      <c r="AH37" s="41"/>
      <c r="AK37" s="47"/>
      <c r="AL37" s="23"/>
      <c r="AM37" s="29">
        <v>1</v>
      </c>
      <c r="AO37" s="126">
        <f>SUM(AO31-AM37)</f>
        <v>18</v>
      </c>
    </row>
    <row r="38" spans="2:41" ht="30" thickBot="1" x14ac:dyDescent="0.4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K38" s="47"/>
      <c r="AL38" s="23"/>
      <c r="AM38" s="24"/>
      <c r="AO38" s="126"/>
    </row>
    <row r="39" spans="2:41" ht="30" thickBot="1" x14ac:dyDescent="0.45">
      <c r="D39" s="190">
        <v>46174</v>
      </c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2"/>
      <c r="AG39" s="192"/>
      <c r="AH39" s="193"/>
      <c r="AJ39" s="162" t="s">
        <v>52</v>
      </c>
      <c r="AK39" s="47">
        <f>SUM(AK33+2.5-AM37)</f>
        <v>69</v>
      </c>
      <c r="AL39" s="23"/>
      <c r="AM39" s="24"/>
      <c r="AO39" s="126"/>
    </row>
    <row r="40" spans="2:41" ht="29.25" x14ac:dyDescent="0.4">
      <c r="D40" s="36">
        <v>1</v>
      </c>
      <c r="E40" s="37">
        <v>2</v>
      </c>
      <c r="F40" s="37">
        <v>3</v>
      </c>
      <c r="G40" s="37">
        <v>4</v>
      </c>
      <c r="H40" s="37">
        <v>5</v>
      </c>
      <c r="I40" s="44">
        <v>6</v>
      </c>
      <c r="J40" s="44">
        <v>7</v>
      </c>
      <c r="K40" s="37">
        <v>8</v>
      </c>
      <c r="L40" s="37">
        <v>9</v>
      </c>
      <c r="M40" s="37">
        <v>10</v>
      </c>
      <c r="N40" s="37">
        <v>11</v>
      </c>
      <c r="O40" s="37">
        <v>12</v>
      </c>
      <c r="P40" s="44">
        <v>13</v>
      </c>
      <c r="Q40" s="44">
        <v>14</v>
      </c>
      <c r="R40" s="37">
        <v>15</v>
      </c>
      <c r="S40" s="37">
        <v>16</v>
      </c>
      <c r="T40" s="37">
        <v>17</v>
      </c>
      <c r="U40" s="37">
        <v>18</v>
      </c>
      <c r="V40" s="37">
        <v>19</v>
      </c>
      <c r="W40" s="44">
        <v>20</v>
      </c>
      <c r="X40" s="44">
        <v>21</v>
      </c>
      <c r="Y40" s="37">
        <v>22</v>
      </c>
      <c r="Z40" s="37">
        <v>23</v>
      </c>
      <c r="AA40" s="37">
        <v>24</v>
      </c>
      <c r="AB40" s="37">
        <v>25</v>
      </c>
      <c r="AC40" s="37">
        <v>26</v>
      </c>
      <c r="AD40" s="44">
        <v>27</v>
      </c>
      <c r="AE40" s="44">
        <v>28</v>
      </c>
      <c r="AF40" s="37">
        <v>29</v>
      </c>
      <c r="AG40" s="2">
        <v>30</v>
      </c>
      <c r="AH40" s="3"/>
      <c r="AK40" s="47"/>
      <c r="AL40" s="23"/>
      <c r="AM40" s="24"/>
      <c r="AO40" s="126"/>
    </row>
    <row r="41" spans="2:41" ht="29.25" x14ac:dyDescent="0.4">
      <c r="D41" s="223" t="s">
        <v>5</v>
      </c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6"/>
      <c r="AH41" s="5"/>
      <c r="AK41" s="47"/>
      <c r="AL41" s="23"/>
      <c r="AM41" s="24"/>
      <c r="AO41" s="126"/>
    </row>
    <row r="42" spans="2:41" ht="30" thickBot="1" x14ac:dyDescent="0.45">
      <c r="D42" s="30"/>
      <c r="E42" s="31"/>
      <c r="F42" s="31"/>
      <c r="G42" s="31"/>
      <c r="H42" s="31"/>
      <c r="I42" s="38"/>
      <c r="J42" s="38"/>
      <c r="K42" s="31"/>
      <c r="L42" s="31"/>
      <c r="M42" s="87" t="str">
        <f>(D140)</f>
        <v>VA Individual Appointments</v>
      </c>
      <c r="N42" s="31"/>
      <c r="O42" s="31"/>
      <c r="P42" s="38"/>
      <c r="Q42" s="38"/>
      <c r="R42" s="31"/>
      <c r="S42" s="31"/>
      <c r="T42" s="31"/>
      <c r="U42" s="31"/>
      <c r="V42" s="31"/>
      <c r="W42" s="38"/>
      <c r="X42" s="38"/>
      <c r="Y42" s="31"/>
      <c r="Z42" s="31"/>
      <c r="AA42" s="31"/>
      <c r="AB42" s="31"/>
      <c r="AC42" s="31"/>
      <c r="AD42" s="38"/>
      <c r="AE42" s="38"/>
      <c r="AF42" s="31"/>
      <c r="AG42" s="1"/>
      <c r="AH42" s="5"/>
      <c r="AK42" s="47"/>
      <c r="AL42" s="23"/>
      <c r="AM42" s="24"/>
      <c r="AO42" s="126"/>
    </row>
    <row r="43" spans="2:41" ht="30" thickBot="1" x14ac:dyDescent="0.45">
      <c r="D43" s="32"/>
      <c r="E43" s="33"/>
      <c r="F43" s="33"/>
      <c r="G43" s="33"/>
      <c r="H43" s="33"/>
      <c r="I43" s="39"/>
      <c r="J43" s="39"/>
      <c r="K43" s="33"/>
      <c r="L43" s="33"/>
      <c r="M43" s="33"/>
      <c r="N43" s="33"/>
      <c r="O43" s="33"/>
      <c r="P43" s="39"/>
      <c r="Q43" s="39"/>
      <c r="R43" s="33"/>
      <c r="S43" s="33"/>
      <c r="T43" s="33"/>
      <c r="U43" s="33"/>
      <c r="V43" s="143" t="s">
        <v>91</v>
      </c>
      <c r="W43" s="149" t="s">
        <v>44</v>
      </c>
      <c r="X43" s="39"/>
      <c r="Y43" s="33"/>
      <c r="Z43" s="33"/>
      <c r="AA43" s="33"/>
      <c r="AB43" s="33"/>
      <c r="AC43" s="33"/>
      <c r="AD43" s="39"/>
      <c r="AE43" s="39"/>
      <c r="AF43" s="33"/>
      <c r="AG43" s="7"/>
      <c r="AH43" s="8"/>
      <c r="AK43" s="47"/>
      <c r="AL43" s="23"/>
      <c r="AM43" s="29">
        <v>0</v>
      </c>
      <c r="AO43" s="126">
        <f>SUM(AO37-AM43)</f>
        <v>18</v>
      </c>
    </row>
    <row r="44" spans="2:41" ht="30" thickBot="1" x14ac:dyDescent="0.45"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6"/>
      <c r="AJ44" s="106"/>
      <c r="AK44" s="107"/>
      <c r="AL44" s="108"/>
      <c r="AM44" s="109"/>
      <c r="AO44" s="126"/>
    </row>
    <row r="45" spans="2:41" ht="29.25" x14ac:dyDescent="0.4">
      <c r="B45" s="244" t="s">
        <v>41</v>
      </c>
      <c r="C45" s="244"/>
      <c r="D45" s="194">
        <v>46204</v>
      </c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6"/>
      <c r="AJ45" s="162" t="s">
        <v>53</v>
      </c>
      <c r="AK45" s="47">
        <f>SUM(AK39+2.5-AM43)</f>
        <v>71.5</v>
      </c>
      <c r="AL45" s="23"/>
      <c r="AM45" s="24"/>
      <c r="AO45" s="126"/>
    </row>
    <row r="46" spans="2:41" ht="29.25" x14ac:dyDescent="0.4">
      <c r="B46" s="244"/>
      <c r="C46" s="244"/>
      <c r="D46" s="4">
        <v>1</v>
      </c>
      <c r="E46" s="1">
        <v>2</v>
      </c>
      <c r="F46" s="1">
        <v>3</v>
      </c>
      <c r="G46" s="10">
        <v>4</v>
      </c>
      <c r="H46" s="10">
        <v>5</v>
      </c>
      <c r="I46" s="1">
        <v>6</v>
      </c>
      <c r="J46" s="1">
        <v>7</v>
      </c>
      <c r="K46" s="1">
        <v>8</v>
      </c>
      <c r="L46" s="1">
        <v>9</v>
      </c>
      <c r="M46" s="1">
        <v>10</v>
      </c>
      <c r="N46" s="10">
        <v>11</v>
      </c>
      <c r="O46" s="10">
        <v>12</v>
      </c>
      <c r="P46" s="1">
        <v>13</v>
      </c>
      <c r="Q46" s="1">
        <v>14</v>
      </c>
      <c r="R46" s="1">
        <v>15</v>
      </c>
      <c r="S46" s="1">
        <v>16</v>
      </c>
      <c r="T46" s="1">
        <v>17</v>
      </c>
      <c r="U46" s="10">
        <v>18</v>
      </c>
      <c r="V46" s="10">
        <v>19</v>
      </c>
      <c r="W46" s="1">
        <v>20</v>
      </c>
      <c r="X46" s="1">
        <v>21</v>
      </c>
      <c r="Y46" s="1">
        <v>22</v>
      </c>
      <c r="Z46" s="1">
        <v>23</v>
      </c>
      <c r="AA46" s="1">
        <v>24</v>
      </c>
      <c r="AB46" s="10">
        <v>25</v>
      </c>
      <c r="AC46" s="10">
        <v>26</v>
      </c>
      <c r="AD46" s="1">
        <v>27</v>
      </c>
      <c r="AE46" s="1">
        <v>28</v>
      </c>
      <c r="AF46" s="1">
        <v>29</v>
      </c>
      <c r="AG46" s="1">
        <v>30</v>
      </c>
      <c r="AH46" s="5">
        <v>31</v>
      </c>
      <c r="AK46" s="47"/>
      <c r="AL46" s="23"/>
      <c r="AM46" s="24"/>
      <c r="AO46" s="126"/>
    </row>
    <row r="47" spans="2:41" ht="29.25" x14ac:dyDescent="0.4">
      <c r="B47" s="244"/>
      <c r="C47" s="244"/>
      <c r="D47" s="101" t="s">
        <v>5</v>
      </c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231" t="s">
        <v>183</v>
      </c>
      <c r="V47" s="231"/>
      <c r="W47" s="231"/>
      <c r="X47" s="231"/>
      <c r="Y47" s="231"/>
      <c r="Z47" s="231"/>
      <c r="AA47" s="231"/>
      <c r="AB47" s="231"/>
      <c r="AC47" s="184"/>
      <c r="AD47" s="184"/>
      <c r="AE47" s="184"/>
      <c r="AF47" s="184"/>
      <c r="AG47" s="184"/>
      <c r="AH47" s="185"/>
      <c r="AK47" s="47"/>
      <c r="AL47" s="23"/>
      <c r="AM47" s="24"/>
      <c r="AO47" s="126"/>
    </row>
    <row r="48" spans="2:41" ht="30" thickBot="1" x14ac:dyDescent="0.45">
      <c r="B48" s="244"/>
      <c r="C48" s="244"/>
      <c r="D48" s="4"/>
      <c r="E48" s="1"/>
      <c r="F48" s="1"/>
      <c r="G48" s="10"/>
      <c r="H48" s="10"/>
      <c r="I48" s="1"/>
      <c r="J48" s="90" t="str">
        <f>(D133)</f>
        <v>Pre Separation Brief</v>
      </c>
      <c r="K48" s="1"/>
      <c r="L48" s="1"/>
      <c r="M48" s="1"/>
      <c r="N48" s="10"/>
      <c r="O48" s="10"/>
      <c r="P48" s="245" t="str">
        <f>(D134)</f>
        <v>Three-Day Transition Workshop</v>
      </c>
      <c r="Q48" s="246"/>
      <c r="R48" s="247"/>
      <c r="S48" s="248" t="str">
        <f>(D137)</f>
        <v>Employment 2 Day Seminar</v>
      </c>
      <c r="T48" s="249"/>
      <c r="U48" s="10"/>
      <c r="V48" s="10"/>
      <c r="W48" s="250" t="str">
        <f>(D135)</f>
        <v>Entrepreneurship 2-Day Seminar</v>
      </c>
      <c r="X48" s="251"/>
      <c r="Y48" s="1"/>
      <c r="Z48" s="1"/>
      <c r="AA48" s="1"/>
      <c r="AB48" s="10"/>
      <c r="AC48" s="10"/>
      <c r="AD48" s="1"/>
      <c r="AE48" s="90" t="str">
        <f>(D133)</f>
        <v>Pre Separation Brief</v>
      </c>
      <c r="AF48" s="1"/>
      <c r="AG48" s="259" t="str">
        <f>(D136)</f>
        <v>Career &amp; Credential Exploration 2 Day Seminar</v>
      </c>
      <c r="AH48" s="260"/>
      <c r="AK48" s="47"/>
      <c r="AL48" s="23"/>
      <c r="AM48" s="24"/>
      <c r="AO48" s="126"/>
    </row>
    <row r="49" spans="2:94" ht="30" thickBot="1" x14ac:dyDescent="0.45">
      <c r="B49" s="244"/>
      <c r="C49" s="244"/>
      <c r="D49" s="6"/>
      <c r="E49" s="7"/>
      <c r="F49" s="22" t="s">
        <v>3</v>
      </c>
      <c r="G49" s="11"/>
      <c r="H49" s="11"/>
      <c r="I49" s="7"/>
      <c r="J49" s="7"/>
      <c r="K49" s="7"/>
      <c r="L49" s="7"/>
      <c r="M49" s="7"/>
      <c r="N49" s="11"/>
      <c r="O49" s="11"/>
      <c r="P49" s="7"/>
      <c r="Q49" s="7"/>
      <c r="R49" s="87" t="str">
        <f>(D140)</f>
        <v>VA Individual Appointments</v>
      </c>
      <c r="S49" s="76"/>
      <c r="T49" s="77"/>
      <c r="U49" s="11"/>
      <c r="V49" s="11"/>
      <c r="W49" s="7"/>
      <c r="X49" s="7"/>
      <c r="Y49" s="7"/>
      <c r="Z49" s="7"/>
      <c r="AA49" s="7"/>
      <c r="AB49" s="11"/>
      <c r="AC49" s="11"/>
      <c r="AD49" s="7"/>
      <c r="AE49" s="7"/>
      <c r="AF49" s="7"/>
      <c r="AG49" s="7"/>
      <c r="AH49" s="66" t="s">
        <v>15</v>
      </c>
      <c r="AK49" s="47"/>
      <c r="AL49" s="23"/>
      <c r="AM49" s="29">
        <v>8</v>
      </c>
      <c r="AO49" s="126">
        <f>SUM(AO43-AM49)</f>
        <v>10</v>
      </c>
    </row>
    <row r="50" spans="2:94" ht="30" thickBot="1" x14ac:dyDescent="0.45">
      <c r="B50" s="244"/>
      <c r="C50" s="244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7"/>
      <c r="AO50" s="126"/>
    </row>
    <row r="51" spans="2:94" ht="29.25" x14ac:dyDescent="0.4">
      <c r="B51" s="244"/>
      <c r="C51" s="244"/>
      <c r="D51" s="194">
        <v>46235</v>
      </c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6"/>
      <c r="AJ51" s="162" t="s">
        <v>54</v>
      </c>
      <c r="AK51" s="47">
        <f>SUM(AK45+2.5-AM49)</f>
        <v>66</v>
      </c>
      <c r="AL51" s="23"/>
      <c r="AM51" s="24"/>
      <c r="AO51" s="126"/>
    </row>
    <row r="52" spans="2:94" ht="29.25" x14ac:dyDescent="0.4">
      <c r="B52" s="244"/>
      <c r="C52" s="244"/>
      <c r="D52" s="12">
        <v>1</v>
      </c>
      <c r="E52" s="10">
        <v>2</v>
      </c>
      <c r="F52" s="1">
        <v>3</v>
      </c>
      <c r="G52" s="1">
        <v>4</v>
      </c>
      <c r="H52" s="1">
        <v>5</v>
      </c>
      <c r="I52" s="1">
        <v>6</v>
      </c>
      <c r="J52" s="1">
        <v>7</v>
      </c>
      <c r="K52" s="10">
        <v>8</v>
      </c>
      <c r="L52" s="10">
        <v>9</v>
      </c>
      <c r="M52" s="1">
        <v>10</v>
      </c>
      <c r="N52" s="1">
        <v>11</v>
      </c>
      <c r="O52" s="1">
        <v>12</v>
      </c>
      <c r="P52" s="1">
        <v>13</v>
      </c>
      <c r="Q52" s="1">
        <v>14</v>
      </c>
      <c r="R52" s="10">
        <v>15</v>
      </c>
      <c r="S52" s="10">
        <v>16</v>
      </c>
      <c r="T52" s="1">
        <v>17</v>
      </c>
      <c r="U52" s="1">
        <v>18</v>
      </c>
      <c r="V52" s="1">
        <v>19</v>
      </c>
      <c r="W52" s="1">
        <v>20</v>
      </c>
      <c r="X52" s="1">
        <v>21</v>
      </c>
      <c r="Y52" s="10">
        <v>22</v>
      </c>
      <c r="Z52" s="10">
        <v>23</v>
      </c>
      <c r="AA52" s="1">
        <v>24</v>
      </c>
      <c r="AB52" s="1">
        <v>25</v>
      </c>
      <c r="AC52" s="1">
        <v>26</v>
      </c>
      <c r="AD52" s="1">
        <v>27</v>
      </c>
      <c r="AE52" s="1">
        <v>28</v>
      </c>
      <c r="AF52" s="10">
        <v>29</v>
      </c>
      <c r="AG52" s="10">
        <v>30</v>
      </c>
      <c r="AH52" s="5">
        <v>31</v>
      </c>
      <c r="AI52" s="56"/>
      <c r="AJ52" s="56"/>
      <c r="AK52" s="47"/>
      <c r="AL52" s="23"/>
      <c r="AM52" s="24"/>
      <c r="AO52" s="126"/>
    </row>
    <row r="53" spans="2:94" ht="30" thickBot="1" x14ac:dyDescent="0.45">
      <c r="B53" s="244"/>
      <c r="C53" s="244"/>
      <c r="D53" s="273" t="s">
        <v>5</v>
      </c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307" t="s">
        <v>120</v>
      </c>
      <c r="AB53" s="307"/>
      <c r="AC53" s="307"/>
      <c r="AD53" s="307"/>
      <c r="AE53" s="307"/>
      <c r="AF53" s="307"/>
      <c r="AG53" s="307"/>
      <c r="AH53" s="308"/>
      <c r="AI53" s="162">
        <v>10</v>
      </c>
      <c r="AK53" s="47"/>
      <c r="AL53" s="23"/>
      <c r="AM53" s="24"/>
      <c r="AO53" s="126"/>
    </row>
    <row r="54" spans="2:94" ht="30" thickBot="1" x14ac:dyDescent="0.45">
      <c r="B54" s="244"/>
      <c r="C54" s="244"/>
      <c r="D54" s="12"/>
      <c r="E54" s="10"/>
      <c r="F54" s="1"/>
      <c r="G54" s="90" t="str">
        <f>(D133)</f>
        <v>Pre Separation Brief</v>
      </c>
      <c r="H54" s="1"/>
      <c r="I54" s="1"/>
      <c r="J54" s="1"/>
      <c r="K54" s="10"/>
      <c r="L54" s="10"/>
      <c r="M54" s="1"/>
      <c r="N54" s="90" t="str">
        <f>(D133)</f>
        <v>Pre Separation Brief</v>
      </c>
      <c r="O54" s="1"/>
      <c r="P54" s="253" t="str">
        <f>(D138)</f>
        <v>Education  2 Day Seminar</v>
      </c>
      <c r="Q54" s="254"/>
      <c r="R54" s="10"/>
      <c r="S54" s="75"/>
      <c r="T54" s="255" t="str">
        <f>(D134)</f>
        <v>Three-Day Transition Workshop</v>
      </c>
      <c r="U54" s="256"/>
      <c r="V54" s="256"/>
      <c r="W54" s="257" t="str">
        <f>(D137)</f>
        <v>Employment 2 Day Seminar</v>
      </c>
      <c r="X54" s="258"/>
      <c r="Y54" s="74"/>
      <c r="Z54" s="10"/>
      <c r="AA54" s="1"/>
      <c r="AB54" s="1"/>
      <c r="AC54" s="1"/>
      <c r="AD54" s="1"/>
      <c r="AE54" s="1"/>
      <c r="AF54" s="10"/>
      <c r="AG54" s="10"/>
      <c r="AH54" s="5"/>
      <c r="AK54" s="47"/>
      <c r="AL54" s="23"/>
      <c r="AM54" s="24"/>
      <c r="AO54" s="126"/>
    </row>
    <row r="55" spans="2:94" ht="30" thickBot="1" x14ac:dyDescent="0.45">
      <c r="B55" s="244"/>
      <c r="C55" s="244"/>
      <c r="D55" s="13"/>
      <c r="E55" s="11"/>
      <c r="F55" s="7"/>
      <c r="G55" s="7"/>
      <c r="H55" s="7"/>
      <c r="I55" s="7"/>
      <c r="J55" s="7"/>
      <c r="K55" s="11"/>
      <c r="L55" s="301" t="s">
        <v>106</v>
      </c>
      <c r="M55" s="302"/>
      <c r="N55" s="302"/>
      <c r="O55" s="302"/>
      <c r="P55" s="302"/>
      <c r="Q55" s="302"/>
      <c r="R55" s="303"/>
      <c r="S55" s="11"/>
      <c r="T55" s="73"/>
      <c r="U55" s="73"/>
      <c r="V55" s="87" t="str">
        <f>(D140)</f>
        <v>VA Individual Appointments</v>
      </c>
      <c r="W55" s="73"/>
      <c r="X55" s="73"/>
      <c r="Y55" s="11"/>
      <c r="Z55" s="11"/>
      <c r="AA55" s="7"/>
      <c r="AB55" s="7"/>
      <c r="AC55" s="7"/>
      <c r="AD55" s="7"/>
      <c r="AE55" s="7"/>
      <c r="AF55" s="11"/>
      <c r="AG55" s="11"/>
      <c r="AH55" s="8"/>
      <c r="AK55" s="47"/>
      <c r="AL55" s="23"/>
      <c r="AM55" s="29">
        <v>8</v>
      </c>
      <c r="AO55" s="126">
        <f>SUM(AO49-AM55)</f>
        <v>2</v>
      </c>
    </row>
    <row r="56" spans="2:94" ht="30" thickBot="1" x14ac:dyDescent="0.45">
      <c r="B56" s="244"/>
      <c r="C56" s="244"/>
      <c r="AK56" s="47"/>
      <c r="AL56" s="23"/>
      <c r="AM56" s="24"/>
      <c r="AO56" s="126"/>
    </row>
    <row r="57" spans="2:94" ht="29.25" x14ac:dyDescent="0.4">
      <c r="B57" s="244"/>
      <c r="C57" s="244"/>
      <c r="D57" s="194">
        <v>46266</v>
      </c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6"/>
      <c r="AJ57" s="162" t="s">
        <v>55</v>
      </c>
      <c r="AK57" s="47">
        <f>SUM(AK51+2.5-AM55)</f>
        <v>60.5</v>
      </c>
      <c r="AL57" s="23"/>
      <c r="AM57" s="24"/>
      <c r="AO57" s="126"/>
    </row>
    <row r="58" spans="2:94" ht="29.25" x14ac:dyDescent="0.4">
      <c r="B58" s="244"/>
      <c r="C58" s="244"/>
      <c r="D58" s="4">
        <v>1</v>
      </c>
      <c r="E58" s="1">
        <v>2</v>
      </c>
      <c r="F58" s="1">
        <v>3</v>
      </c>
      <c r="G58" s="1">
        <v>4</v>
      </c>
      <c r="H58" s="10">
        <v>5</v>
      </c>
      <c r="I58" s="10">
        <v>6</v>
      </c>
      <c r="J58" s="1">
        <v>7</v>
      </c>
      <c r="K58" s="1">
        <v>8</v>
      </c>
      <c r="L58" s="1">
        <v>9</v>
      </c>
      <c r="M58" s="1">
        <v>10</v>
      </c>
      <c r="N58" s="1">
        <v>11</v>
      </c>
      <c r="O58" s="10">
        <v>12</v>
      </c>
      <c r="P58" s="10">
        <v>13</v>
      </c>
      <c r="Q58" s="1">
        <v>14</v>
      </c>
      <c r="R58" s="1">
        <v>15</v>
      </c>
      <c r="S58" s="1">
        <v>16</v>
      </c>
      <c r="T58" s="1">
        <v>17</v>
      </c>
      <c r="U58" s="1">
        <v>18</v>
      </c>
      <c r="V58" s="10">
        <v>19</v>
      </c>
      <c r="W58" s="10">
        <v>20</v>
      </c>
      <c r="X58" s="1">
        <v>21</v>
      </c>
      <c r="Y58" s="1">
        <v>22</v>
      </c>
      <c r="Z58" s="1">
        <v>23</v>
      </c>
      <c r="AA58" s="1">
        <v>24</v>
      </c>
      <c r="AB58" s="1">
        <v>25</v>
      </c>
      <c r="AC58" s="10">
        <v>26</v>
      </c>
      <c r="AD58" s="10">
        <v>27</v>
      </c>
      <c r="AE58" s="1">
        <v>28</v>
      </c>
      <c r="AF58" s="1">
        <v>29</v>
      </c>
      <c r="AG58" s="1">
        <v>30</v>
      </c>
      <c r="AH58" s="5"/>
      <c r="AK58" s="47"/>
      <c r="AL58" s="23"/>
      <c r="AM58" s="24"/>
      <c r="AO58" s="126"/>
    </row>
    <row r="59" spans="2:94" ht="29.25" x14ac:dyDescent="0.4">
      <c r="B59" s="244"/>
      <c r="C59" s="244"/>
      <c r="D59" s="263" t="s">
        <v>185</v>
      </c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309"/>
      <c r="AH59" s="5"/>
      <c r="AI59" s="162">
        <v>0</v>
      </c>
      <c r="AK59" s="47"/>
      <c r="AL59" s="23"/>
      <c r="AM59" s="24"/>
      <c r="AO59" s="126"/>
    </row>
    <row r="60" spans="2:94" ht="30" thickBot="1" x14ac:dyDescent="0.45">
      <c r="B60" s="244"/>
      <c r="C60" s="244"/>
      <c r="D60" s="78"/>
      <c r="E60" s="78"/>
      <c r="F60" s="78"/>
      <c r="G60" s="78"/>
      <c r="H60" s="80"/>
      <c r="I60" s="80"/>
      <c r="J60" s="78"/>
      <c r="K60" s="95" t="str">
        <f>(D132)</f>
        <v>Initial Individual Counseling</v>
      </c>
      <c r="L60" s="96"/>
      <c r="M60" s="99"/>
      <c r="N60" s="99"/>
      <c r="O60" s="97"/>
      <c r="P60" s="85"/>
      <c r="Q60" s="288" t="str">
        <f>(D134)</f>
        <v>Three-Day Transition Workshop</v>
      </c>
      <c r="R60" s="289"/>
      <c r="S60" s="290"/>
      <c r="T60" s="304" t="str">
        <f>(D136)</f>
        <v>Career &amp; Credential Exploration 2 Day Seminar</v>
      </c>
      <c r="U60" s="305"/>
      <c r="V60" s="85"/>
      <c r="W60" s="85"/>
      <c r="X60" s="84"/>
      <c r="Y60" s="84"/>
      <c r="Z60" s="84"/>
      <c r="AA60" s="84"/>
      <c r="AB60" s="84"/>
      <c r="AC60" s="85"/>
      <c r="AD60" s="85"/>
      <c r="AE60" s="84"/>
      <c r="AF60" s="95" t="str">
        <f>(D132)</f>
        <v>Initial Individual Counseling</v>
      </c>
      <c r="AG60" s="84"/>
      <c r="AH60" s="147"/>
      <c r="AK60" s="47"/>
      <c r="AL60" s="23"/>
      <c r="AM60" s="27"/>
      <c r="AO60" s="126"/>
    </row>
    <row r="61" spans="2:94" ht="30" thickBot="1" x14ac:dyDescent="0.45">
      <c r="B61" s="244"/>
      <c r="C61" s="244"/>
      <c r="D61" s="72"/>
      <c r="E61" s="73"/>
      <c r="F61" s="73"/>
      <c r="G61" s="73"/>
      <c r="H61" s="79"/>
      <c r="I61" s="79"/>
      <c r="J61" s="142" t="s">
        <v>83</v>
      </c>
      <c r="K61" s="81"/>
      <c r="L61" s="81"/>
      <c r="M61" s="98"/>
      <c r="N61" s="98"/>
      <c r="O61" s="82"/>
      <c r="P61" s="82"/>
      <c r="Q61" s="81"/>
      <c r="R61" s="81"/>
      <c r="S61" s="88" t="str">
        <f>(D140)</f>
        <v>VA Individual Appointments</v>
      </c>
      <c r="T61" s="81"/>
      <c r="U61" s="81"/>
      <c r="V61" s="82"/>
      <c r="W61" s="82"/>
      <c r="X61" s="81"/>
      <c r="Y61" s="81"/>
      <c r="Z61" s="81"/>
      <c r="AA61" s="81"/>
      <c r="AB61" s="81"/>
      <c r="AC61" s="82"/>
      <c r="AD61" s="82"/>
      <c r="AE61" s="81"/>
      <c r="AF61" s="81"/>
      <c r="AG61" s="81"/>
      <c r="AH61" s="83"/>
      <c r="AK61" s="47"/>
      <c r="AL61" s="26"/>
      <c r="AM61" s="29">
        <v>30</v>
      </c>
      <c r="AO61" s="126">
        <f>SUM(AO55-AM61)</f>
        <v>-28</v>
      </c>
    </row>
    <row r="62" spans="2:94" ht="15.75" thickBot="1" x14ac:dyDescent="0.25">
      <c r="B62" s="244"/>
      <c r="C62" s="244"/>
      <c r="AK62" s="47"/>
      <c r="AL62" s="23"/>
      <c r="AM62" s="28"/>
    </row>
    <row r="63" spans="2:94" x14ac:dyDescent="0.2">
      <c r="B63" s="244"/>
      <c r="C63" s="244"/>
      <c r="D63" s="194">
        <v>46296</v>
      </c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6"/>
      <c r="AJ63" s="162" t="s">
        <v>56</v>
      </c>
      <c r="AK63" s="47">
        <f>SUM(AK57+2.5-AM61)</f>
        <v>33</v>
      </c>
      <c r="AL63" s="23"/>
      <c r="AM63" s="24"/>
    </row>
    <row r="64" spans="2:94" x14ac:dyDescent="0.2">
      <c r="B64" s="244"/>
      <c r="C64" s="244"/>
      <c r="D64" s="4">
        <v>1</v>
      </c>
      <c r="E64" s="1">
        <v>2</v>
      </c>
      <c r="F64" s="10">
        <v>3</v>
      </c>
      <c r="G64" s="10">
        <v>4</v>
      </c>
      <c r="H64" s="1">
        <v>5</v>
      </c>
      <c r="I64" s="1">
        <v>6</v>
      </c>
      <c r="J64" s="1">
        <v>7</v>
      </c>
      <c r="K64" s="1">
        <v>8</v>
      </c>
      <c r="L64" s="1">
        <v>9</v>
      </c>
      <c r="M64" s="10">
        <v>10</v>
      </c>
      <c r="N64" s="10">
        <v>11</v>
      </c>
      <c r="O64" s="1">
        <v>12</v>
      </c>
      <c r="P64" s="1">
        <v>13</v>
      </c>
      <c r="Q64" s="1">
        <v>14</v>
      </c>
      <c r="R64" s="1">
        <v>15</v>
      </c>
      <c r="S64" s="1">
        <v>16</v>
      </c>
      <c r="T64" s="10">
        <v>17</v>
      </c>
      <c r="U64" s="10">
        <v>18</v>
      </c>
      <c r="V64" s="1">
        <v>19</v>
      </c>
      <c r="W64" s="1">
        <v>20</v>
      </c>
      <c r="X64" s="1">
        <v>21</v>
      </c>
      <c r="Y64" s="1">
        <v>22</v>
      </c>
      <c r="Z64" s="1">
        <v>23</v>
      </c>
      <c r="AA64" s="10">
        <v>24</v>
      </c>
      <c r="AB64" s="10">
        <v>25</v>
      </c>
      <c r="AC64" s="1">
        <v>26</v>
      </c>
      <c r="AD64" s="1">
        <v>27</v>
      </c>
      <c r="AE64" s="1">
        <v>28</v>
      </c>
      <c r="AF64" s="1">
        <v>29</v>
      </c>
      <c r="AG64" s="1">
        <v>30</v>
      </c>
      <c r="AH64" s="14">
        <v>31</v>
      </c>
      <c r="AI64" s="56"/>
      <c r="AJ64" s="56"/>
      <c r="AK64" s="47"/>
      <c r="AL64" s="23"/>
      <c r="AM64" s="24"/>
      <c r="BL64" s="262" t="s">
        <v>0</v>
      </c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</row>
    <row r="65" spans="1:94" ht="21.75" thickBot="1" x14ac:dyDescent="0.35">
      <c r="B65" s="244"/>
      <c r="C65" s="244"/>
      <c r="D65" s="307" t="s">
        <v>186</v>
      </c>
      <c r="E65" s="307"/>
      <c r="F65" s="307"/>
      <c r="G65" s="307"/>
      <c r="H65" s="307"/>
      <c r="I65" s="307"/>
      <c r="J65" s="307"/>
      <c r="K65" s="307"/>
      <c r="L65" s="307"/>
      <c r="M65" s="265" t="s">
        <v>5</v>
      </c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310"/>
      <c r="AI65" s="56">
        <v>14</v>
      </c>
      <c r="AJ65" s="56"/>
      <c r="AK65" s="47"/>
      <c r="AL65" s="23"/>
      <c r="AM65" s="24"/>
      <c r="BL65">
        <v>1</v>
      </c>
      <c r="BM65">
        <v>2</v>
      </c>
      <c r="BN65">
        <v>3</v>
      </c>
      <c r="BO65">
        <v>4</v>
      </c>
      <c r="BP65">
        <v>5</v>
      </c>
      <c r="BQ65">
        <v>6</v>
      </c>
      <c r="BR65">
        <v>7</v>
      </c>
      <c r="BS65">
        <v>8</v>
      </c>
      <c r="BT65">
        <v>9</v>
      </c>
      <c r="BU65">
        <v>10</v>
      </c>
      <c r="BV65">
        <v>11</v>
      </c>
      <c r="BW65">
        <v>12</v>
      </c>
      <c r="BX65">
        <v>13</v>
      </c>
      <c r="BY65">
        <v>14</v>
      </c>
      <c r="BZ65">
        <v>15</v>
      </c>
      <c r="CA65">
        <v>16</v>
      </c>
      <c r="CB65">
        <v>17</v>
      </c>
      <c r="CC65">
        <v>18</v>
      </c>
      <c r="CD65">
        <v>19</v>
      </c>
      <c r="CE65">
        <v>20</v>
      </c>
      <c r="CF65">
        <v>21</v>
      </c>
      <c r="CG65">
        <v>22</v>
      </c>
      <c r="CH65">
        <v>23</v>
      </c>
      <c r="CI65">
        <v>24</v>
      </c>
      <c r="CJ65">
        <v>25</v>
      </c>
      <c r="CK65">
        <v>26</v>
      </c>
      <c r="CL65">
        <v>27</v>
      </c>
      <c r="CM65">
        <v>28</v>
      </c>
      <c r="CN65">
        <v>29</v>
      </c>
      <c r="CO65">
        <v>30</v>
      </c>
      <c r="CP65">
        <v>31</v>
      </c>
    </row>
    <row r="66" spans="1:94" ht="15.75" thickBot="1" x14ac:dyDescent="0.25">
      <c r="B66" s="244"/>
      <c r="C66" s="244"/>
      <c r="D66" s="4"/>
      <c r="E66" s="1"/>
      <c r="F66" s="10"/>
      <c r="G66" s="10"/>
      <c r="H66" s="250" t="str">
        <f>(D135)</f>
        <v>Entrepreneurship 2-Day Seminar</v>
      </c>
      <c r="I66" s="251"/>
      <c r="J66" s="1"/>
      <c r="K66" s="1"/>
      <c r="L66" s="1"/>
      <c r="M66" s="10"/>
      <c r="N66" s="10"/>
      <c r="O66" s="1"/>
      <c r="P66" s="1"/>
      <c r="Q66" s="1"/>
      <c r="R66" s="1"/>
      <c r="S66" s="1"/>
      <c r="T66" s="10"/>
      <c r="U66" s="10"/>
      <c r="V66" s="288" t="str">
        <f>(D134)</f>
        <v>Three-Day Transition Workshop</v>
      </c>
      <c r="W66" s="289"/>
      <c r="X66" s="290"/>
      <c r="Y66" s="257" t="str">
        <f>(D137)</f>
        <v>Employment 2 Day Seminar</v>
      </c>
      <c r="Z66" s="258"/>
      <c r="AA66" s="10"/>
      <c r="AB66" s="10"/>
      <c r="AC66" s="1"/>
      <c r="AD66" s="93" t="str">
        <f>(D133)</f>
        <v>Pre Separation Brief</v>
      </c>
      <c r="AE66" s="1"/>
      <c r="AF66" s="94" t="str">
        <f>(D138)</f>
        <v>Education  2 Day Seminar</v>
      </c>
      <c r="AG66" s="1"/>
      <c r="AH66" s="14"/>
      <c r="AK66" s="47"/>
      <c r="AL66" s="23"/>
      <c r="AM66" s="27"/>
    </row>
    <row r="67" spans="1:94" ht="15.75" thickBot="1" x14ac:dyDescent="0.25">
      <c r="B67" s="244"/>
      <c r="C67" s="244"/>
      <c r="D67" s="4"/>
      <c r="E67" s="1"/>
      <c r="F67" s="10"/>
      <c r="G67" s="10"/>
      <c r="H67" s="70" t="s">
        <v>89</v>
      </c>
      <c r="I67" s="1"/>
      <c r="J67" s="1"/>
      <c r="K67" s="1"/>
      <c r="L67" s="70" t="s">
        <v>29</v>
      </c>
      <c r="M67" s="10"/>
      <c r="N67" s="10"/>
      <c r="O67" s="141" t="s">
        <v>84</v>
      </c>
      <c r="P67" s="1"/>
      <c r="Q67" s="1"/>
      <c r="R67" s="1"/>
      <c r="S67" s="1"/>
      <c r="T67" s="10"/>
      <c r="U67" s="10"/>
      <c r="V67" s="1"/>
      <c r="W67" s="1"/>
      <c r="X67" s="88" t="str">
        <f>(D140)</f>
        <v>VA Individual Appointments</v>
      </c>
      <c r="Y67" s="1"/>
      <c r="Z67" s="1"/>
      <c r="AA67" s="10"/>
      <c r="AB67" s="10"/>
      <c r="AC67" s="1"/>
      <c r="AD67" s="1"/>
      <c r="AE67" s="1"/>
      <c r="AF67" s="1"/>
      <c r="AG67" s="1"/>
      <c r="AH67" s="15"/>
      <c r="AK67" s="47"/>
      <c r="AL67" s="26"/>
      <c r="AM67" s="29">
        <v>9</v>
      </c>
    </row>
    <row r="68" spans="1:94" ht="15.75" thickBot="1" x14ac:dyDescent="0.25">
      <c r="B68" s="244"/>
      <c r="C68" s="24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K68" s="47"/>
      <c r="AL68" s="23"/>
      <c r="AM68" s="28"/>
    </row>
    <row r="69" spans="1:94" ht="15.75" thickBot="1" x14ac:dyDescent="0.25">
      <c r="B69" s="244"/>
      <c r="C69" s="244"/>
      <c r="D69" s="190">
        <v>46327</v>
      </c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2"/>
      <c r="AG69" s="192"/>
      <c r="AH69" s="193"/>
      <c r="AJ69" s="162" t="s">
        <v>57</v>
      </c>
      <c r="AK69" s="47">
        <f>SUM(AK63+2.5-AM67)</f>
        <v>26.5</v>
      </c>
      <c r="AL69" s="23"/>
      <c r="AM69" s="24"/>
    </row>
    <row r="70" spans="1:94" x14ac:dyDescent="0.2">
      <c r="B70" s="244"/>
      <c r="C70" s="244"/>
      <c r="D70" s="120">
        <v>1</v>
      </c>
      <c r="E70" s="57">
        <v>2</v>
      </c>
      <c r="F70" s="57">
        <v>3</v>
      </c>
      <c r="G70" s="57">
        <v>4</v>
      </c>
      <c r="H70" s="57">
        <v>5</v>
      </c>
      <c r="I70" s="57">
        <v>6</v>
      </c>
      <c r="J70" s="58">
        <v>7</v>
      </c>
      <c r="K70" s="58">
        <v>8</v>
      </c>
      <c r="L70" s="57">
        <v>9</v>
      </c>
      <c r="M70" s="57">
        <v>10</v>
      </c>
      <c r="N70" s="57">
        <v>11</v>
      </c>
      <c r="O70" s="57">
        <v>12</v>
      </c>
      <c r="P70" s="57">
        <v>13</v>
      </c>
      <c r="Q70" s="58">
        <v>14</v>
      </c>
      <c r="R70" s="58">
        <v>15</v>
      </c>
      <c r="S70" s="57">
        <v>16</v>
      </c>
      <c r="T70" s="57">
        <v>17</v>
      </c>
      <c r="U70" s="57">
        <v>18</v>
      </c>
      <c r="V70" s="57">
        <v>19</v>
      </c>
      <c r="W70" s="57">
        <v>20</v>
      </c>
      <c r="X70" s="58">
        <v>21</v>
      </c>
      <c r="Y70" s="58">
        <v>22</v>
      </c>
      <c r="Z70" s="57">
        <v>23</v>
      </c>
      <c r="AA70" s="57">
        <v>24</v>
      </c>
      <c r="AB70" s="68">
        <v>25</v>
      </c>
      <c r="AC70" s="68">
        <v>26</v>
      </c>
      <c r="AD70" s="68">
        <v>27</v>
      </c>
      <c r="AE70" s="69">
        <v>28</v>
      </c>
      <c r="AF70" s="69">
        <v>29</v>
      </c>
      <c r="AG70" s="64">
        <v>30</v>
      </c>
      <c r="AH70" s="3"/>
      <c r="AI70" s="56"/>
      <c r="AJ70" s="56"/>
      <c r="AK70" s="47"/>
      <c r="AL70" s="23"/>
      <c r="AM70" s="24"/>
    </row>
    <row r="71" spans="1:94" x14ac:dyDescent="0.2">
      <c r="A71" s="67"/>
      <c r="B71" s="244"/>
      <c r="C71" s="244"/>
      <c r="D71" s="311" t="s">
        <v>116</v>
      </c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3"/>
      <c r="AH71" s="5"/>
      <c r="AI71" s="162">
        <v>0</v>
      </c>
      <c r="AK71" s="47"/>
      <c r="AL71" s="23"/>
      <c r="AM71" s="24"/>
    </row>
    <row r="72" spans="1:94" ht="15.75" thickBot="1" x14ac:dyDescent="0.25">
      <c r="B72" s="244"/>
      <c r="C72" s="244"/>
      <c r="D72" s="121"/>
      <c r="E72" s="59"/>
      <c r="F72" s="59"/>
      <c r="G72" s="59"/>
      <c r="H72" s="59"/>
      <c r="I72" s="59"/>
      <c r="J72" s="60"/>
      <c r="K72" s="60"/>
      <c r="L72" s="59"/>
      <c r="M72" s="59"/>
      <c r="N72" s="59"/>
      <c r="O72" s="298" t="str">
        <f>(D136)</f>
        <v>Career &amp; Credential Exploration 2 Day Seminar</v>
      </c>
      <c r="P72" s="299"/>
      <c r="Q72" s="60"/>
      <c r="R72" s="60"/>
      <c r="S72" s="295" t="str">
        <f>(D134)</f>
        <v>Three-Day Transition Workshop</v>
      </c>
      <c r="T72" s="296"/>
      <c r="U72" s="297"/>
      <c r="V72" s="280" t="str">
        <f>(D137)</f>
        <v>Employment 2 Day Seminar</v>
      </c>
      <c r="W72" s="281"/>
      <c r="X72" s="60"/>
      <c r="Y72" s="60"/>
      <c r="Z72" s="59"/>
      <c r="AA72" s="123" t="str">
        <f>(D133)</f>
        <v>Pre Separation Brief</v>
      </c>
      <c r="AB72" s="59"/>
      <c r="AC72" s="59"/>
      <c r="AD72" s="59"/>
      <c r="AE72" s="60"/>
      <c r="AF72" s="60"/>
      <c r="AG72" s="1"/>
      <c r="AH72" s="5"/>
      <c r="AK72" s="47"/>
      <c r="AL72" s="23"/>
      <c r="AM72" s="27"/>
    </row>
    <row r="73" spans="1:94" ht="15.75" thickBot="1" x14ac:dyDescent="0.25">
      <c r="B73" s="244"/>
      <c r="C73" s="244"/>
      <c r="D73" s="13"/>
      <c r="E73" s="7"/>
      <c r="F73" s="92" t="str">
        <f>(D133)</f>
        <v>Pre Separation Brief</v>
      </c>
      <c r="G73" s="7"/>
      <c r="H73" s="7"/>
      <c r="I73" s="7"/>
      <c r="J73" s="11"/>
      <c r="K73" s="11"/>
      <c r="L73" s="7"/>
      <c r="M73" s="143" t="s">
        <v>111</v>
      </c>
      <c r="N73" s="143" t="s">
        <v>85</v>
      </c>
      <c r="O73" s="7"/>
      <c r="P73" s="7"/>
      <c r="Q73" s="11"/>
      <c r="R73" s="11"/>
      <c r="S73" s="7"/>
      <c r="T73" s="7"/>
      <c r="U73" s="89" t="str">
        <f>(D140)</f>
        <v>VA Individual Appointments</v>
      </c>
      <c r="V73" s="7"/>
      <c r="W73" s="7"/>
      <c r="X73" s="11"/>
      <c r="Y73" s="11"/>
      <c r="Z73" s="7"/>
      <c r="AA73" s="7"/>
      <c r="AB73" s="7"/>
      <c r="AC73" s="211" t="s">
        <v>2</v>
      </c>
      <c r="AD73" s="212"/>
      <c r="AE73" s="11"/>
      <c r="AF73" s="11"/>
      <c r="AG73" s="7"/>
      <c r="AH73" s="8"/>
      <c r="AK73" s="47"/>
      <c r="AL73" s="26"/>
      <c r="AM73" s="29">
        <v>5</v>
      </c>
    </row>
    <row r="74" spans="1:94" ht="15.75" thickBot="1" x14ac:dyDescent="0.25">
      <c r="B74" s="244"/>
      <c r="C74" s="24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K74" s="47"/>
      <c r="AL74" s="23"/>
      <c r="AM74" s="28"/>
    </row>
    <row r="75" spans="1:94" x14ac:dyDescent="0.2">
      <c r="B75" s="244"/>
      <c r="C75" s="244"/>
      <c r="D75" s="217">
        <v>46357</v>
      </c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9"/>
      <c r="AG75" s="219"/>
      <c r="AH75" s="220"/>
      <c r="AJ75" s="162" t="s">
        <v>58</v>
      </c>
      <c r="AK75" s="47">
        <f>SUM(AK69+2.5-AM73)</f>
        <v>24</v>
      </c>
      <c r="AL75" s="23"/>
      <c r="AM75" s="24"/>
    </row>
    <row r="76" spans="1:94" x14ac:dyDescent="0.2">
      <c r="B76" s="244"/>
      <c r="C76" s="244"/>
      <c r="D76" s="4">
        <v>1</v>
      </c>
      <c r="E76" s="1">
        <v>2</v>
      </c>
      <c r="F76" s="1">
        <v>3</v>
      </c>
      <c r="G76" s="1">
        <v>4</v>
      </c>
      <c r="H76" s="10">
        <v>5</v>
      </c>
      <c r="I76" s="10">
        <v>6</v>
      </c>
      <c r="J76" s="1">
        <v>7</v>
      </c>
      <c r="K76" s="1">
        <v>8</v>
      </c>
      <c r="L76" s="1">
        <v>9</v>
      </c>
      <c r="M76" s="1">
        <v>10</v>
      </c>
      <c r="N76" s="1">
        <v>11</v>
      </c>
      <c r="O76" s="10">
        <v>12</v>
      </c>
      <c r="P76" s="10">
        <v>13</v>
      </c>
      <c r="Q76" s="1">
        <v>14</v>
      </c>
      <c r="R76" s="1">
        <v>15</v>
      </c>
      <c r="S76" s="1">
        <v>16</v>
      </c>
      <c r="T76" s="1">
        <v>17</v>
      </c>
      <c r="U76" s="1">
        <v>18</v>
      </c>
      <c r="V76" s="10">
        <v>19</v>
      </c>
      <c r="W76" s="10">
        <v>20</v>
      </c>
      <c r="X76" s="1">
        <v>21</v>
      </c>
      <c r="Y76" s="1">
        <v>22</v>
      </c>
      <c r="Z76" s="1">
        <v>23</v>
      </c>
      <c r="AA76" s="1">
        <v>24</v>
      </c>
      <c r="AB76" s="1">
        <v>25</v>
      </c>
      <c r="AC76" s="10">
        <v>26</v>
      </c>
      <c r="AD76" s="10">
        <v>27</v>
      </c>
      <c r="AE76" s="1">
        <v>28</v>
      </c>
      <c r="AF76" s="1">
        <v>29</v>
      </c>
      <c r="AG76" s="1">
        <v>30</v>
      </c>
      <c r="AH76" s="1">
        <v>31</v>
      </c>
      <c r="AK76" s="47"/>
      <c r="AL76" s="23"/>
      <c r="AM76" s="24"/>
    </row>
    <row r="77" spans="1:94" ht="15.75" thickBot="1" x14ac:dyDescent="0.25">
      <c r="B77" s="244"/>
      <c r="C77" s="244"/>
      <c r="D77" s="314" t="s">
        <v>187</v>
      </c>
      <c r="E77" s="315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/>
      <c r="AF77" s="315"/>
      <c r="AG77" s="315"/>
      <c r="AH77" s="316"/>
      <c r="AI77" s="162">
        <v>0</v>
      </c>
      <c r="AK77" s="47"/>
      <c r="AL77" s="23"/>
      <c r="AM77" s="24"/>
    </row>
    <row r="78" spans="1:94" ht="15.75" thickBot="1" x14ac:dyDescent="0.25">
      <c r="B78" s="244"/>
      <c r="C78" s="244"/>
      <c r="D78" s="91" t="str">
        <f>(D133)</f>
        <v>Pre Separation Brief</v>
      </c>
      <c r="E78" s="1"/>
      <c r="F78" s="1"/>
      <c r="G78" s="1"/>
      <c r="H78" s="10"/>
      <c r="I78" s="10"/>
      <c r="J78" s="288" t="str">
        <f>(D134)</f>
        <v>Three-Day Transition Workshop</v>
      </c>
      <c r="K78" s="289"/>
      <c r="L78" s="290"/>
      <c r="M78" s="257" t="str">
        <f>(D137)</f>
        <v>Employment 2 Day Seminar</v>
      </c>
      <c r="N78" s="258"/>
      <c r="O78" s="10"/>
      <c r="P78" s="10"/>
      <c r="Q78" s="1"/>
      <c r="R78" s="90" t="str">
        <f>(D133)</f>
        <v>Pre Separation Brief</v>
      </c>
      <c r="S78" s="1"/>
      <c r="T78" s="1"/>
      <c r="U78" s="1"/>
      <c r="V78" s="10"/>
      <c r="W78" s="10"/>
      <c r="X78" s="1"/>
      <c r="Y78" s="1"/>
      <c r="Z78" s="1"/>
      <c r="AA78" s="1"/>
      <c r="AB78" s="1"/>
      <c r="AC78" s="10"/>
      <c r="AD78" s="10"/>
      <c r="AE78" s="1"/>
      <c r="AF78" s="1"/>
      <c r="AG78" s="1"/>
      <c r="AH78" s="5"/>
      <c r="AK78" s="47"/>
      <c r="AL78" s="23"/>
      <c r="AM78" s="27"/>
    </row>
    <row r="79" spans="1:94" ht="15.75" thickBot="1" x14ac:dyDescent="0.25">
      <c r="B79" s="244"/>
      <c r="C79" s="244"/>
      <c r="D79" s="6"/>
      <c r="E79" s="7"/>
      <c r="F79" s="7"/>
      <c r="G79" s="7"/>
      <c r="H79" s="11"/>
      <c r="I79" s="11"/>
      <c r="J79" s="7"/>
      <c r="K79" s="7"/>
      <c r="L79" s="89" t="str">
        <f>(D140)</f>
        <v>VA Individual Appointments</v>
      </c>
      <c r="M79" s="7"/>
      <c r="N79" s="7"/>
      <c r="O79" s="11"/>
      <c r="P79" s="11"/>
      <c r="Q79" s="7"/>
      <c r="R79" s="7"/>
      <c r="S79" s="7"/>
      <c r="T79" s="7"/>
      <c r="U79" s="7"/>
      <c r="V79" s="11"/>
      <c r="W79" s="11"/>
      <c r="X79" s="7"/>
      <c r="Y79" s="7"/>
      <c r="Z79" s="7"/>
      <c r="AA79" s="22" t="s">
        <v>3</v>
      </c>
      <c r="AB79" s="22" t="s">
        <v>3</v>
      </c>
      <c r="AC79" s="11"/>
      <c r="AD79" s="11"/>
      <c r="AE79" s="7"/>
      <c r="AF79" s="7"/>
      <c r="AG79" s="7"/>
      <c r="AH79" s="22" t="s">
        <v>3</v>
      </c>
      <c r="AK79" s="47"/>
      <c r="AL79" s="26"/>
      <c r="AM79" s="29">
        <v>0</v>
      </c>
    </row>
    <row r="80" spans="1:94" ht="15.75" thickBot="1" x14ac:dyDescent="0.25">
      <c r="B80" s="244"/>
      <c r="C80" s="24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K80" s="47"/>
      <c r="AL80" s="23"/>
      <c r="AM80" s="28"/>
    </row>
    <row r="81" spans="2:42" ht="24.75" x14ac:dyDescent="0.35">
      <c r="B81" s="244"/>
      <c r="C81" s="244"/>
      <c r="D81" s="194">
        <v>46388</v>
      </c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6"/>
      <c r="AI81" s="140"/>
      <c r="AJ81" s="162" t="s">
        <v>59</v>
      </c>
      <c r="AK81" s="47">
        <f>SUM(AK75+2.5-AM79)</f>
        <v>26.5</v>
      </c>
      <c r="AL81" s="23"/>
      <c r="AM81" s="24"/>
    </row>
    <row r="82" spans="2:42" x14ac:dyDescent="0.2">
      <c r="B82" s="244"/>
      <c r="C82" s="244"/>
      <c r="D82" s="4">
        <v>1</v>
      </c>
      <c r="E82" s="10">
        <v>2</v>
      </c>
      <c r="F82" s="10">
        <v>3</v>
      </c>
      <c r="G82" s="1">
        <v>4</v>
      </c>
      <c r="H82" s="1">
        <v>5</v>
      </c>
      <c r="I82" s="1">
        <v>6</v>
      </c>
      <c r="J82" s="1">
        <v>7</v>
      </c>
      <c r="K82" s="1">
        <v>8</v>
      </c>
      <c r="L82" s="10">
        <v>9</v>
      </c>
      <c r="M82" s="10">
        <v>10</v>
      </c>
      <c r="N82" s="1">
        <v>11</v>
      </c>
      <c r="O82" s="1">
        <v>12</v>
      </c>
      <c r="P82" s="1">
        <v>13</v>
      </c>
      <c r="Q82" s="1">
        <v>14</v>
      </c>
      <c r="R82" s="1">
        <v>15</v>
      </c>
      <c r="S82" s="10">
        <v>16</v>
      </c>
      <c r="T82" s="10">
        <v>17</v>
      </c>
      <c r="U82" s="1">
        <v>18</v>
      </c>
      <c r="V82" s="1">
        <v>19</v>
      </c>
      <c r="W82" s="1">
        <v>20</v>
      </c>
      <c r="X82" s="1">
        <v>21</v>
      </c>
      <c r="Y82" s="1">
        <v>22</v>
      </c>
      <c r="Z82" s="10">
        <v>23</v>
      </c>
      <c r="AA82" s="10">
        <v>24</v>
      </c>
      <c r="AB82" s="1">
        <v>25</v>
      </c>
      <c r="AC82" s="1">
        <v>26</v>
      </c>
      <c r="AD82" s="1">
        <v>27</v>
      </c>
      <c r="AE82" s="1">
        <v>28</v>
      </c>
      <c r="AF82" s="1">
        <v>29</v>
      </c>
      <c r="AG82" s="10">
        <v>30</v>
      </c>
      <c r="AH82" s="40">
        <v>31</v>
      </c>
      <c r="AI82" s="162" t="s">
        <v>86</v>
      </c>
      <c r="AK82" s="47"/>
      <c r="AL82" s="23"/>
      <c r="AM82" s="24"/>
    </row>
    <row r="83" spans="2:42" ht="24.75" x14ac:dyDescent="0.35">
      <c r="B83" s="244"/>
      <c r="C83" s="244"/>
      <c r="D83" s="317" t="s">
        <v>188</v>
      </c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9"/>
      <c r="AI83" s="140">
        <f>SUM(AI53:AI82)</f>
        <v>24</v>
      </c>
      <c r="AK83" s="47"/>
      <c r="AL83" s="23"/>
      <c r="AM83" s="24"/>
    </row>
    <row r="84" spans="2:42" ht="25.5" thickBot="1" x14ac:dyDescent="0.4">
      <c r="B84" s="244"/>
      <c r="C84" s="244"/>
      <c r="D84" s="4"/>
      <c r="E84" s="10"/>
      <c r="F84" s="10"/>
      <c r="G84" s="1"/>
      <c r="H84" s="1"/>
      <c r="I84" s="1"/>
      <c r="J84" s="1"/>
      <c r="K84" s="1"/>
      <c r="L84" s="10"/>
      <c r="M84" s="10"/>
      <c r="N84" s="1"/>
      <c r="O84" s="1"/>
      <c r="P84" s="1"/>
      <c r="Q84" s="1"/>
      <c r="R84" s="1"/>
      <c r="S84" s="10"/>
      <c r="T84" s="10"/>
      <c r="U84" s="1"/>
      <c r="V84" s="1"/>
      <c r="W84" s="1"/>
      <c r="X84" s="1"/>
      <c r="Y84" s="1"/>
      <c r="Z84" s="10"/>
      <c r="AA84" s="10"/>
      <c r="AB84" s="1"/>
      <c r="AC84" s="1"/>
      <c r="AD84" s="1"/>
      <c r="AE84" s="1"/>
      <c r="AF84" s="1"/>
      <c r="AG84" s="10"/>
      <c r="AH84" s="40"/>
      <c r="AI84" s="140"/>
      <c r="AK84" s="47"/>
      <c r="AL84" s="23"/>
      <c r="AM84" s="27"/>
    </row>
    <row r="85" spans="2:42" ht="15.75" thickBot="1" x14ac:dyDescent="0.25">
      <c r="B85" s="244"/>
      <c r="C85" s="244"/>
      <c r="D85" s="21" t="s">
        <v>2</v>
      </c>
      <c r="E85" s="10"/>
      <c r="F85" s="10"/>
      <c r="G85" s="1"/>
      <c r="H85" s="1"/>
      <c r="I85" s="1"/>
      <c r="J85" s="1"/>
      <c r="K85" s="1"/>
      <c r="L85" s="10"/>
      <c r="M85" s="10"/>
      <c r="N85" s="1"/>
      <c r="O85" s="1"/>
      <c r="P85" s="1"/>
      <c r="Q85" s="1"/>
      <c r="R85" s="1"/>
      <c r="S85" s="10"/>
      <c r="T85" s="10"/>
      <c r="U85" s="141" t="s">
        <v>81</v>
      </c>
      <c r="V85" s="1"/>
      <c r="W85" s="1"/>
      <c r="X85" s="1"/>
      <c r="Y85" s="1"/>
      <c r="Z85" s="10"/>
      <c r="AA85" s="10"/>
      <c r="AB85" s="1"/>
      <c r="AC85" s="1"/>
      <c r="AD85" s="1"/>
      <c r="AE85" s="1"/>
      <c r="AF85" s="1"/>
      <c r="AG85" s="10"/>
      <c r="AH85" s="40"/>
      <c r="AK85" s="47"/>
      <c r="AL85" s="26"/>
      <c r="AM85" s="29">
        <v>0</v>
      </c>
    </row>
    <row r="86" spans="2:42" ht="35.25" thickBot="1" x14ac:dyDescent="0.55000000000000004">
      <c r="B86" s="244"/>
      <c r="C86" s="244"/>
      <c r="AI86" s="53" t="s">
        <v>87</v>
      </c>
      <c r="AK86" s="47"/>
      <c r="AL86" s="23"/>
      <c r="AM86" s="28"/>
      <c r="AP86">
        <v>31</v>
      </c>
    </row>
    <row r="87" spans="2:42" ht="35.25" thickBot="1" x14ac:dyDescent="0.55000000000000004">
      <c r="B87" s="244"/>
      <c r="C87" s="244"/>
      <c r="D87" s="194">
        <v>46419</v>
      </c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6"/>
      <c r="AI87" s="53">
        <f>AK117</f>
        <v>0</v>
      </c>
      <c r="AJ87" s="162" t="s">
        <v>60</v>
      </c>
      <c r="AK87" s="47">
        <f>SUM(AK81+2.5-AM85)</f>
        <v>29</v>
      </c>
      <c r="AL87" s="23"/>
      <c r="AM87" s="24"/>
      <c r="AP87">
        <v>31</v>
      </c>
    </row>
    <row r="88" spans="2:42" x14ac:dyDescent="0.2">
      <c r="B88" s="244"/>
      <c r="C88" s="244"/>
      <c r="D88" s="4">
        <v>1</v>
      </c>
      <c r="E88" s="1">
        <v>2</v>
      </c>
      <c r="F88" s="1">
        <v>3</v>
      </c>
      <c r="G88" s="1">
        <v>4</v>
      </c>
      <c r="H88" s="1">
        <v>5</v>
      </c>
      <c r="I88" s="38">
        <v>6</v>
      </c>
      <c r="J88" s="38">
        <v>7</v>
      </c>
      <c r="K88" s="1">
        <v>8</v>
      </c>
      <c r="L88" s="1">
        <v>9</v>
      </c>
      <c r="M88" s="1">
        <v>10</v>
      </c>
      <c r="N88" s="1">
        <v>11</v>
      </c>
      <c r="O88" s="1">
        <v>12</v>
      </c>
      <c r="P88" s="38">
        <v>13</v>
      </c>
      <c r="Q88" s="38">
        <v>14</v>
      </c>
      <c r="R88" s="1">
        <v>15</v>
      </c>
      <c r="S88" s="1">
        <v>16</v>
      </c>
      <c r="T88" s="1">
        <v>17</v>
      </c>
      <c r="U88" s="1">
        <v>18</v>
      </c>
      <c r="V88" s="1">
        <v>19</v>
      </c>
      <c r="W88" s="38">
        <v>20</v>
      </c>
      <c r="X88" s="38">
        <v>21</v>
      </c>
      <c r="Y88" s="1">
        <v>22</v>
      </c>
      <c r="Z88" s="1">
        <v>23</v>
      </c>
      <c r="AA88" s="62">
        <v>24</v>
      </c>
      <c r="AB88" s="62">
        <v>25</v>
      </c>
      <c r="AC88" s="62">
        <v>26</v>
      </c>
      <c r="AD88" s="103">
        <v>27</v>
      </c>
      <c r="AE88" s="103">
        <v>28</v>
      </c>
      <c r="AF88" s="1"/>
      <c r="AG88" s="1"/>
      <c r="AH88" s="5"/>
      <c r="AK88" s="47"/>
      <c r="AL88" s="23"/>
      <c r="AM88" s="24"/>
      <c r="AP88">
        <v>28</v>
      </c>
    </row>
    <row r="89" spans="2:42" x14ac:dyDescent="0.2">
      <c r="B89" s="244"/>
      <c r="C89" s="244"/>
      <c r="D89" s="267" t="s">
        <v>189</v>
      </c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9"/>
      <c r="AF89" s="102"/>
      <c r="AG89" s="1"/>
      <c r="AH89" s="5"/>
      <c r="AK89" s="47"/>
      <c r="AL89" s="23"/>
      <c r="AM89" s="24"/>
      <c r="AP89">
        <v>27</v>
      </c>
    </row>
    <row r="90" spans="2:42" ht="15.75" thickBot="1" x14ac:dyDescent="0.25">
      <c r="B90" s="244"/>
      <c r="C90" s="244"/>
      <c r="D90" s="4"/>
      <c r="E90" s="1"/>
      <c r="F90" s="1"/>
      <c r="G90" s="1"/>
      <c r="H90" s="1"/>
      <c r="I90" s="38"/>
      <c r="J90" s="38"/>
      <c r="K90" s="1"/>
      <c r="L90" s="1"/>
      <c r="M90" s="1"/>
      <c r="N90" s="1"/>
      <c r="O90" s="1"/>
      <c r="P90" s="38"/>
      <c r="Q90" s="38"/>
      <c r="R90" s="1"/>
      <c r="S90" s="1"/>
      <c r="T90" s="1"/>
      <c r="U90" s="1"/>
      <c r="V90" s="1"/>
      <c r="W90" s="38"/>
      <c r="X90" s="38"/>
      <c r="Y90" s="1"/>
      <c r="Z90" s="1"/>
      <c r="AA90" s="59"/>
      <c r="AB90" s="59"/>
      <c r="AC90" s="59"/>
      <c r="AD90" s="104"/>
      <c r="AE90" s="104"/>
      <c r="AF90" s="1"/>
      <c r="AG90" s="1"/>
      <c r="AH90" s="5"/>
      <c r="AK90" s="47"/>
      <c r="AL90" s="23"/>
      <c r="AM90" s="27"/>
      <c r="AP90">
        <f>SUM(AP86:AP89)</f>
        <v>117</v>
      </c>
    </row>
    <row r="91" spans="2:42" ht="15.75" thickBot="1" x14ac:dyDescent="0.25">
      <c r="B91" s="244"/>
      <c r="C91" s="244"/>
      <c r="D91" s="4"/>
      <c r="E91" s="1"/>
      <c r="F91" s="1"/>
      <c r="G91" s="1"/>
      <c r="H91" s="1"/>
      <c r="I91" s="38"/>
      <c r="J91" s="38"/>
      <c r="K91" s="22" t="s">
        <v>9</v>
      </c>
      <c r="L91" s="1"/>
      <c r="M91" s="1"/>
      <c r="N91" s="1"/>
      <c r="O91" s="1"/>
      <c r="P91" s="38"/>
      <c r="Q91" s="38"/>
      <c r="R91" s="141" t="s">
        <v>82</v>
      </c>
      <c r="S91" s="1"/>
      <c r="T91" s="1"/>
      <c r="U91" s="1"/>
      <c r="V91" s="1"/>
      <c r="W91" s="38"/>
      <c r="X91" s="38"/>
      <c r="Y91" s="1"/>
      <c r="Z91" s="1"/>
      <c r="AA91" s="1"/>
      <c r="AB91" s="1"/>
      <c r="AC91" s="1"/>
      <c r="AD91" s="38"/>
      <c r="AE91" s="38"/>
      <c r="AF91" s="1"/>
      <c r="AG91" s="1"/>
      <c r="AH91" s="5"/>
      <c r="AK91" s="47"/>
      <c r="AL91" s="26"/>
      <c r="AM91" s="29">
        <v>0</v>
      </c>
    </row>
    <row r="92" spans="2:42" ht="15.75" thickBot="1" x14ac:dyDescent="0.25">
      <c r="B92" s="244"/>
      <c r="C92" s="24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K92" s="47"/>
      <c r="AL92" s="23"/>
      <c r="AM92" s="28"/>
    </row>
    <row r="93" spans="2:42" x14ac:dyDescent="0.2">
      <c r="B93" s="244"/>
      <c r="C93" s="244"/>
      <c r="D93" s="194">
        <v>46447</v>
      </c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6"/>
      <c r="AJ93" s="162" t="s">
        <v>61</v>
      </c>
      <c r="AK93" s="47">
        <f>SUM(AK87+2.5-AM91)</f>
        <v>31.5</v>
      </c>
      <c r="AL93" s="23"/>
      <c r="AM93" s="24"/>
    </row>
    <row r="94" spans="2:42" x14ac:dyDescent="0.2">
      <c r="B94" s="244"/>
      <c r="C94" s="244"/>
      <c r="D94" s="4">
        <v>1</v>
      </c>
      <c r="E94" s="1">
        <v>2</v>
      </c>
      <c r="F94" s="1">
        <v>3</v>
      </c>
      <c r="G94" s="1">
        <v>4</v>
      </c>
      <c r="H94" s="1">
        <v>5</v>
      </c>
      <c r="I94" s="10">
        <v>6</v>
      </c>
      <c r="J94" s="10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0">
        <v>13</v>
      </c>
      <c r="Q94" s="10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0">
        <v>20</v>
      </c>
      <c r="X94" s="10">
        <v>21</v>
      </c>
      <c r="Y94" s="1">
        <v>22</v>
      </c>
      <c r="Z94" s="1">
        <v>23</v>
      </c>
      <c r="AA94" s="1">
        <v>24</v>
      </c>
      <c r="AB94" s="1">
        <v>25</v>
      </c>
      <c r="AC94" s="1">
        <v>26</v>
      </c>
      <c r="AD94" s="10">
        <v>27</v>
      </c>
      <c r="AE94" s="10">
        <v>28</v>
      </c>
      <c r="AF94" s="1">
        <v>29</v>
      </c>
      <c r="AG94" s="1">
        <v>30</v>
      </c>
      <c r="AH94" s="5">
        <v>31</v>
      </c>
      <c r="AK94" s="47"/>
      <c r="AL94" s="23"/>
      <c r="AM94" s="24"/>
    </row>
    <row r="95" spans="2:42" ht="21.75" thickBot="1" x14ac:dyDescent="0.35">
      <c r="B95" s="244"/>
      <c r="C95" s="244"/>
      <c r="D95" s="274" t="s">
        <v>190</v>
      </c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06"/>
      <c r="AB95" s="306"/>
      <c r="AC95" s="306"/>
      <c r="AD95" s="306"/>
      <c r="AE95" s="198" t="s">
        <v>184</v>
      </c>
      <c r="AF95" s="198"/>
      <c r="AG95" s="198"/>
      <c r="AH95" s="199"/>
      <c r="AK95" s="47"/>
      <c r="AL95" s="23"/>
      <c r="AM95" s="24"/>
    </row>
    <row r="96" spans="2:42" ht="15.75" thickBot="1" x14ac:dyDescent="0.25">
      <c r="B96" s="244"/>
      <c r="C96" s="244"/>
      <c r="D96" s="4"/>
      <c r="E96" s="1"/>
      <c r="F96" s="1"/>
      <c r="G96" s="1"/>
      <c r="H96" s="1"/>
      <c r="I96" s="10"/>
      <c r="J96" s="10"/>
      <c r="K96" s="1"/>
      <c r="L96" s="1"/>
      <c r="M96" s="1"/>
      <c r="N96" s="1"/>
      <c r="O96" s="1"/>
      <c r="P96" s="10"/>
      <c r="Q96" s="10"/>
      <c r="R96" s="1"/>
      <c r="S96" s="1"/>
      <c r="T96" s="1"/>
      <c r="U96" s="1"/>
      <c r="V96" s="1"/>
      <c r="W96" s="10"/>
      <c r="X96" s="10"/>
      <c r="Y96" s="1"/>
      <c r="Z96" s="1"/>
      <c r="AA96" s="1"/>
      <c r="AB96" s="1"/>
      <c r="AC96" s="1"/>
      <c r="AD96" s="10"/>
      <c r="AE96" s="10"/>
      <c r="AF96" s="1"/>
      <c r="AG96" s="1"/>
      <c r="AH96" s="5"/>
      <c r="AK96" s="47"/>
      <c r="AL96" s="23"/>
      <c r="AM96" s="27"/>
    </row>
    <row r="97" spans="2:39" ht="15.75" thickBot="1" x14ac:dyDescent="0.25">
      <c r="B97" s="244"/>
      <c r="C97" s="244"/>
      <c r="D97" s="4"/>
      <c r="E97" s="1"/>
      <c r="F97" s="1"/>
      <c r="G97" s="1"/>
      <c r="H97" s="1"/>
      <c r="I97" s="10"/>
      <c r="J97" s="10"/>
      <c r="K97" s="1"/>
      <c r="L97" s="1"/>
      <c r="M97" s="1"/>
      <c r="N97" s="1"/>
      <c r="O97" s="1"/>
      <c r="P97" s="10"/>
      <c r="Q97" s="10"/>
      <c r="R97" s="1"/>
      <c r="S97" s="1"/>
      <c r="T97" s="1"/>
      <c r="U97" s="1"/>
      <c r="V97" s="1"/>
      <c r="W97" s="10"/>
      <c r="X97" s="10"/>
      <c r="Y97" s="1"/>
      <c r="Z97" s="1"/>
      <c r="AA97" s="1"/>
      <c r="AB97" s="1"/>
      <c r="AC97" s="1"/>
      <c r="AD97" s="10"/>
      <c r="AE97" s="10"/>
      <c r="AF97" s="1"/>
      <c r="AG97" s="1"/>
      <c r="AH97" s="5"/>
      <c r="AK97" s="47"/>
      <c r="AL97" s="26"/>
      <c r="AM97" s="29">
        <v>4</v>
      </c>
    </row>
    <row r="98" spans="2:39" ht="15.75" thickBot="1" x14ac:dyDescent="0.25">
      <c r="B98" s="244"/>
      <c r="C98" s="244"/>
      <c r="AK98" s="47"/>
      <c r="AL98" s="23"/>
      <c r="AM98" s="28"/>
    </row>
    <row r="99" spans="2:39" x14ac:dyDescent="0.2">
      <c r="B99" s="244"/>
      <c r="C99" s="244"/>
      <c r="D99" s="194">
        <v>46478</v>
      </c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6"/>
      <c r="AJ99" s="162" t="s">
        <v>62</v>
      </c>
      <c r="AK99" s="47">
        <f>SUM(AK93+2.5-AM97)</f>
        <v>30</v>
      </c>
      <c r="AL99" s="23"/>
      <c r="AM99" s="24"/>
    </row>
    <row r="100" spans="2:39" x14ac:dyDescent="0.2">
      <c r="B100" s="244"/>
      <c r="C100" s="244"/>
      <c r="D100" s="4">
        <v>1</v>
      </c>
      <c r="E100" s="1">
        <v>2</v>
      </c>
      <c r="F100" s="10">
        <v>3</v>
      </c>
      <c r="G100" s="10">
        <v>4</v>
      </c>
      <c r="H100" s="1">
        <v>5</v>
      </c>
      <c r="I100" s="1">
        <v>6</v>
      </c>
      <c r="J100" s="1">
        <v>7</v>
      </c>
      <c r="K100" s="1">
        <v>8</v>
      </c>
      <c r="L100" s="1">
        <v>9</v>
      </c>
      <c r="M100" s="10">
        <v>10</v>
      </c>
      <c r="N100" s="10">
        <v>11</v>
      </c>
      <c r="O100" s="1">
        <v>12</v>
      </c>
      <c r="P100" s="1">
        <v>13</v>
      </c>
      <c r="Q100" s="1">
        <v>14</v>
      </c>
      <c r="R100" s="1">
        <v>15</v>
      </c>
      <c r="S100" s="1">
        <v>16</v>
      </c>
      <c r="T100" s="10">
        <v>17</v>
      </c>
      <c r="U100" s="10">
        <v>18</v>
      </c>
      <c r="V100" s="1">
        <v>19</v>
      </c>
      <c r="W100" s="1">
        <v>20</v>
      </c>
      <c r="X100" s="1">
        <v>21</v>
      </c>
      <c r="Y100" s="1">
        <v>22</v>
      </c>
      <c r="Z100" s="1">
        <v>23</v>
      </c>
      <c r="AA100" s="10">
        <v>24</v>
      </c>
      <c r="AB100" s="10">
        <v>25</v>
      </c>
      <c r="AC100" s="1">
        <v>26</v>
      </c>
      <c r="AD100" s="1">
        <v>27</v>
      </c>
      <c r="AE100" s="1">
        <v>28</v>
      </c>
      <c r="AF100" s="1">
        <v>29</v>
      </c>
      <c r="AG100" s="1">
        <v>30</v>
      </c>
      <c r="AH100" s="5"/>
      <c r="AK100" s="47"/>
      <c r="AL100" s="23"/>
      <c r="AM100" s="24"/>
    </row>
    <row r="101" spans="2:39" ht="15.75" thickBot="1" x14ac:dyDescent="0.25">
      <c r="B101" s="244"/>
      <c r="C101" s="244"/>
      <c r="D101" s="277" t="s">
        <v>117</v>
      </c>
      <c r="E101" s="278"/>
      <c r="F101" s="278"/>
      <c r="G101" s="278"/>
      <c r="H101" s="278"/>
      <c r="I101" s="278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278"/>
      <c r="AH101" s="65"/>
      <c r="AK101" s="47"/>
      <c r="AL101" s="23"/>
      <c r="AM101" s="24"/>
    </row>
    <row r="102" spans="2:39" ht="15.75" thickBot="1" x14ac:dyDescent="0.25">
      <c r="B102" s="244"/>
      <c r="C102" s="244"/>
      <c r="D102" s="4"/>
      <c r="E102" s="1"/>
      <c r="F102" s="10"/>
      <c r="G102" s="10"/>
      <c r="H102" s="1"/>
      <c r="I102" s="1"/>
      <c r="J102" s="1"/>
      <c r="K102" s="1"/>
      <c r="L102" s="1"/>
      <c r="M102" s="10"/>
      <c r="N102" s="10"/>
      <c r="O102" s="1"/>
      <c r="P102" s="1"/>
      <c r="Q102" s="1"/>
      <c r="R102" s="1"/>
      <c r="S102" s="1"/>
      <c r="T102" s="10"/>
      <c r="U102" s="10"/>
      <c r="V102" s="1"/>
      <c r="W102" s="1"/>
      <c r="X102" s="1"/>
      <c r="Y102" s="1"/>
      <c r="Z102" s="1"/>
      <c r="AA102" s="10"/>
      <c r="AB102" s="10"/>
      <c r="AC102" s="1"/>
      <c r="AD102" s="1"/>
      <c r="AE102" s="1"/>
      <c r="AF102" s="1"/>
      <c r="AG102" s="1"/>
      <c r="AH102" s="5"/>
      <c r="AK102" s="47"/>
      <c r="AL102" s="23"/>
      <c r="AM102" s="27"/>
    </row>
    <row r="103" spans="2:39" ht="15.75" thickBot="1" x14ac:dyDescent="0.25">
      <c r="B103" s="244"/>
      <c r="C103" s="244"/>
      <c r="D103" s="4"/>
      <c r="E103" s="1"/>
      <c r="F103" s="10"/>
      <c r="G103" s="10"/>
      <c r="H103" s="1"/>
      <c r="I103" s="1"/>
      <c r="J103" s="1"/>
      <c r="K103" s="1"/>
      <c r="L103" s="1"/>
      <c r="M103" s="10"/>
      <c r="N103" s="10"/>
      <c r="O103" s="1"/>
      <c r="P103" s="1"/>
      <c r="Q103" s="1"/>
      <c r="R103" s="1"/>
      <c r="S103" s="1"/>
      <c r="T103" s="10"/>
      <c r="U103" s="10"/>
      <c r="V103" s="1"/>
      <c r="W103" s="1"/>
      <c r="X103" s="1"/>
      <c r="Y103" s="1"/>
      <c r="Z103" s="1"/>
      <c r="AA103" s="10"/>
      <c r="AB103" s="10"/>
      <c r="AC103" s="1"/>
      <c r="AD103" s="1"/>
      <c r="AE103" s="1"/>
      <c r="AF103" s="1"/>
      <c r="AG103" s="1"/>
      <c r="AH103" s="5"/>
      <c r="AK103" s="47"/>
      <c r="AL103" s="26"/>
      <c r="AM103" s="29">
        <v>30</v>
      </c>
    </row>
    <row r="104" spans="2:39" ht="15.75" thickBot="1" x14ac:dyDescent="0.25">
      <c r="B104" s="244"/>
      <c r="C104" s="244"/>
      <c r="AK104" s="47"/>
      <c r="AL104" s="23"/>
      <c r="AM104" s="28"/>
    </row>
    <row r="105" spans="2:39" x14ac:dyDescent="0.2">
      <c r="B105" s="244"/>
      <c r="C105" s="244"/>
      <c r="D105" s="194">
        <v>46508</v>
      </c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6"/>
      <c r="AJ105" s="162" t="s">
        <v>51</v>
      </c>
      <c r="AK105" s="47">
        <f>SUM(AK99-AM103)</f>
        <v>0</v>
      </c>
      <c r="AL105" s="23"/>
      <c r="AM105" s="24"/>
    </row>
    <row r="106" spans="2:39" x14ac:dyDescent="0.2">
      <c r="B106" s="244"/>
      <c r="C106" s="244"/>
      <c r="D106" s="12">
        <v>1</v>
      </c>
      <c r="E106" s="10">
        <v>2</v>
      </c>
      <c r="F106" s="1">
        <v>3</v>
      </c>
      <c r="G106" s="1">
        <v>4</v>
      </c>
      <c r="H106" s="1">
        <v>5</v>
      </c>
      <c r="I106" s="1">
        <v>6</v>
      </c>
      <c r="J106" s="1">
        <v>7</v>
      </c>
      <c r="K106" s="10">
        <v>8</v>
      </c>
      <c r="L106" s="10">
        <v>9</v>
      </c>
      <c r="M106" s="1">
        <v>10</v>
      </c>
      <c r="N106" s="1">
        <v>11</v>
      </c>
      <c r="O106" s="1">
        <v>12</v>
      </c>
      <c r="P106" s="1">
        <v>13</v>
      </c>
      <c r="Q106" s="1">
        <v>14</v>
      </c>
      <c r="R106" s="10">
        <v>15</v>
      </c>
      <c r="S106" s="10">
        <v>16</v>
      </c>
      <c r="T106" s="1">
        <v>17</v>
      </c>
      <c r="U106" s="1">
        <v>18</v>
      </c>
      <c r="V106" s="1">
        <v>19</v>
      </c>
      <c r="W106" s="1">
        <v>20</v>
      </c>
      <c r="X106" s="1">
        <v>21</v>
      </c>
      <c r="Y106" s="10">
        <v>22</v>
      </c>
      <c r="Z106" s="10">
        <v>23</v>
      </c>
      <c r="AA106" s="1">
        <v>24</v>
      </c>
      <c r="AB106" s="1">
        <v>25</v>
      </c>
      <c r="AC106" s="1">
        <v>26</v>
      </c>
      <c r="AD106" s="1">
        <v>27</v>
      </c>
      <c r="AE106" s="1">
        <v>28</v>
      </c>
      <c r="AF106" s="10">
        <v>29</v>
      </c>
      <c r="AG106" s="10">
        <v>30</v>
      </c>
      <c r="AH106" s="5">
        <v>31</v>
      </c>
      <c r="AK106" s="47"/>
      <c r="AL106" s="23"/>
      <c r="AM106" s="24"/>
    </row>
    <row r="107" spans="2:39" x14ac:dyDescent="0.2">
      <c r="B107" s="244"/>
      <c r="C107" s="244"/>
      <c r="D107" s="51" t="s">
        <v>30</v>
      </c>
      <c r="E107" s="10"/>
      <c r="F107" s="1"/>
      <c r="G107" s="1"/>
      <c r="H107" s="1"/>
      <c r="I107" s="1"/>
      <c r="J107" s="1"/>
      <c r="K107" s="10"/>
      <c r="L107" s="10"/>
      <c r="M107" s="1"/>
      <c r="N107" s="1"/>
      <c r="O107" s="1"/>
      <c r="P107" s="1"/>
      <c r="Q107" s="1"/>
      <c r="R107" s="10"/>
      <c r="S107" s="10"/>
      <c r="T107" s="1"/>
      <c r="U107" s="1"/>
      <c r="V107" s="1"/>
      <c r="W107" s="1"/>
      <c r="X107" s="1"/>
      <c r="Y107" s="10"/>
      <c r="Z107" s="10"/>
      <c r="AA107" s="1"/>
      <c r="AB107" s="1"/>
      <c r="AC107" s="1"/>
      <c r="AD107" s="1"/>
      <c r="AE107" s="1"/>
      <c r="AF107" s="10"/>
      <c r="AG107" s="10"/>
      <c r="AH107" s="5"/>
      <c r="AK107" s="47"/>
      <c r="AL107" s="23"/>
      <c r="AM107" s="24"/>
    </row>
    <row r="108" spans="2:39" ht="15.75" thickBot="1" x14ac:dyDescent="0.25">
      <c r="B108" s="244"/>
      <c r="C108" s="244"/>
      <c r="D108" s="51"/>
      <c r="E108" s="10"/>
      <c r="F108" s="1"/>
      <c r="G108" s="1"/>
      <c r="H108" s="1"/>
      <c r="I108" s="1"/>
      <c r="J108" s="1"/>
      <c r="K108" s="10"/>
      <c r="L108" s="10"/>
      <c r="M108" s="1"/>
      <c r="N108" s="1"/>
      <c r="O108" s="1"/>
      <c r="P108" s="1"/>
      <c r="Q108" s="1"/>
      <c r="R108" s="10"/>
      <c r="S108" s="10"/>
      <c r="T108" s="1"/>
      <c r="U108" s="1"/>
      <c r="V108" s="1"/>
      <c r="W108" s="1"/>
      <c r="X108" s="1"/>
      <c r="Y108" s="10"/>
      <c r="Z108" s="10"/>
      <c r="AA108" s="1"/>
      <c r="AB108" s="1"/>
      <c r="AC108" s="1"/>
      <c r="AD108" s="1"/>
      <c r="AE108" s="1"/>
      <c r="AF108" s="10"/>
      <c r="AG108" s="10"/>
      <c r="AH108" s="5"/>
      <c r="AK108" s="47"/>
      <c r="AL108" s="23"/>
      <c r="AM108" s="27"/>
    </row>
    <row r="109" spans="2:39" ht="15.75" thickBot="1" x14ac:dyDescent="0.25">
      <c r="B109" s="244"/>
      <c r="C109" s="244"/>
      <c r="D109" s="51"/>
      <c r="E109" s="10"/>
      <c r="F109" s="1"/>
      <c r="G109" s="1"/>
      <c r="H109" s="1"/>
      <c r="I109" s="1"/>
      <c r="J109" s="1"/>
      <c r="K109" s="10"/>
      <c r="L109" s="10"/>
      <c r="M109" s="1"/>
      <c r="N109" s="1"/>
      <c r="O109" s="1"/>
      <c r="P109" s="1"/>
      <c r="Q109" s="1"/>
      <c r="R109" s="10"/>
      <c r="S109" s="10"/>
      <c r="T109" s="1"/>
      <c r="U109" s="1"/>
      <c r="V109" s="1"/>
      <c r="W109" s="1"/>
      <c r="X109" s="1"/>
      <c r="Y109" s="10"/>
      <c r="Z109" s="10"/>
      <c r="AA109" s="1"/>
      <c r="AB109" s="1"/>
      <c r="AC109" s="1"/>
      <c r="AD109" s="1"/>
      <c r="AE109" s="1"/>
      <c r="AF109" s="10"/>
      <c r="AG109" s="10"/>
      <c r="AH109" s="5"/>
      <c r="AK109" s="47"/>
      <c r="AL109" s="26"/>
      <c r="AM109" s="29">
        <v>0</v>
      </c>
    </row>
    <row r="110" spans="2:39" ht="15.75" thickBot="1" x14ac:dyDescent="0.25">
      <c r="B110" s="244"/>
      <c r="C110" s="244"/>
      <c r="AK110" s="47"/>
      <c r="AL110" s="23"/>
      <c r="AM110" s="28"/>
    </row>
    <row r="111" spans="2:39" x14ac:dyDescent="0.2">
      <c r="B111" s="244"/>
      <c r="C111" s="244"/>
      <c r="D111" s="194">
        <v>46539</v>
      </c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6"/>
      <c r="AJ111" s="162" t="s">
        <v>52</v>
      </c>
      <c r="AK111" s="47">
        <f>SUM(AK105-AM109)</f>
        <v>0</v>
      </c>
      <c r="AL111" s="23"/>
      <c r="AM111" s="24"/>
    </row>
    <row r="112" spans="2:39" x14ac:dyDescent="0.2">
      <c r="B112" s="244"/>
      <c r="C112" s="244"/>
      <c r="D112" s="4">
        <v>1</v>
      </c>
      <c r="E112" s="1">
        <v>2</v>
      </c>
      <c r="F112" s="1">
        <v>3</v>
      </c>
      <c r="G112" s="1">
        <v>4</v>
      </c>
      <c r="H112" s="10">
        <v>5</v>
      </c>
      <c r="I112" s="10">
        <v>6</v>
      </c>
      <c r="J112" s="1">
        <v>7</v>
      </c>
      <c r="K112" s="1">
        <v>8</v>
      </c>
      <c r="L112" s="1">
        <v>9</v>
      </c>
      <c r="M112" s="1">
        <v>10</v>
      </c>
      <c r="N112" s="1">
        <v>11</v>
      </c>
      <c r="O112" s="10">
        <v>12</v>
      </c>
      <c r="P112" s="10">
        <v>13</v>
      </c>
      <c r="Q112" s="1">
        <v>14</v>
      </c>
      <c r="R112" s="1">
        <v>15</v>
      </c>
      <c r="S112" s="1">
        <v>16</v>
      </c>
      <c r="T112" s="1">
        <v>17</v>
      </c>
      <c r="U112" s="1">
        <v>18</v>
      </c>
      <c r="V112" s="10">
        <v>19</v>
      </c>
      <c r="W112" s="10">
        <v>20</v>
      </c>
      <c r="X112" s="1">
        <v>21</v>
      </c>
      <c r="Y112" s="1">
        <v>22</v>
      </c>
      <c r="Z112" s="1">
        <v>23</v>
      </c>
      <c r="AA112" s="1">
        <v>24</v>
      </c>
      <c r="AB112" s="1">
        <v>25</v>
      </c>
      <c r="AC112" s="10">
        <v>26</v>
      </c>
      <c r="AD112" s="10">
        <v>27</v>
      </c>
      <c r="AE112" s="1">
        <v>28</v>
      </c>
      <c r="AF112" s="1">
        <v>29</v>
      </c>
      <c r="AG112" s="1">
        <v>30</v>
      </c>
      <c r="AH112" s="5"/>
      <c r="AK112" s="47"/>
      <c r="AL112" s="23"/>
      <c r="AM112" s="24"/>
    </row>
    <row r="113" spans="2:39" x14ac:dyDescent="0.2">
      <c r="B113" s="244"/>
      <c r="C113" s="244"/>
      <c r="D113" s="52"/>
      <c r="E113" s="1"/>
      <c r="F113" s="1"/>
      <c r="G113" s="1"/>
      <c r="H113" s="10"/>
      <c r="I113" s="10"/>
      <c r="J113" s="1"/>
      <c r="K113" s="1"/>
      <c r="L113" s="1"/>
      <c r="M113" s="1"/>
      <c r="N113" s="1"/>
      <c r="O113" s="10"/>
      <c r="P113" s="10"/>
      <c r="Q113" s="1"/>
      <c r="R113" s="1"/>
      <c r="S113" s="1"/>
      <c r="T113" s="1"/>
      <c r="U113" s="1"/>
      <c r="V113" s="10"/>
      <c r="W113" s="10"/>
      <c r="X113" s="1"/>
      <c r="Y113" s="1"/>
      <c r="Z113" s="1"/>
      <c r="AA113" s="1"/>
      <c r="AB113" s="1"/>
      <c r="AC113" s="10"/>
      <c r="AD113" s="10"/>
      <c r="AE113" s="1"/>
      <c r="AF113" s="1"/>
      <c r="AG113" s="1"/>
      <c r="AH113" s="5"/>
      <c r="AK113" s="47"/>
      <c r="AL113" s="23"/>
      <c r="AM113" s="24"/>
    </row>
    <row r="114" spans="2:39" ht="15.75" thickBot="1" x14ac:dyDescent="0.25">
      <c r="B114" s="244"/>
      <c r="C114" s="244"/>
      <c r="D114" s="52"/>
      <c r="E114" s="1"/>
      <c r="F114" s="1"/>
      <c r="G114" s="1"/>
      <c r="H114" s="10"/>
      <c r="I114" s="10"/>
      <c r="J114" s="1"/>
      <c r="K114" s="1"/>
      <c r="L114" s="1"/>
      <c r="M114" s="1"/>
      <c r="N114" s="1"/>
      <c r="O114" s="10"/>
      <c r="P114" s="10"/>
      <c r="Q114" s="1"/>
      <c r="R114" s="1"/>
      <c r="S114" s="1"/>
      <c r="T114" s="1"/>
      <c r="U114" s="1"/>
      <c r="V114" s="10"/>
      <c r="W114" s="10"/>
      <c r="X114" s="1"/>
      <c r="Y114" s="1"/>
      <c r="Z114" s="1"/>
      <c r="AA114" s="1"/>
      <c r="AB114" s="1"/>
      <c r="AC114" s="10"/>
      <c r="AD114" s="10"/>
      <c r="AE114" s="1"/>
      <c r="AF114" s="1"/>
      <c r="AG114" s="1"/>
      <c r="AH114" s="5"/>
      <c r="AK114" s="47"/>
      <c r="AL114" s="23"/>
      <c r="AM114" s="27"/>
    </row>
    <row r="115" spans="2:39" ht="15.75" thickBot="1" x14ac:dyDescent="0.25">
      <c r="B115" s="244"/>
      <c r="C115" s="244"/>
      <c r="D115" s="52"/>
      <c r="E115" s="1"/>
      <c r="F115" s="1"/>
      <c r="G115" s="1"/>
      <c r="H115" s="10"/>
      <c r="I115" s="10"/>
      <c r="J115" s="1"/>
      <c r="K115" s="1"/>
      <c r="L115" s="1"/>
      <c r="M115" s="1"/>
      <c r="N115" s="1"/>
      <c r="O115" s="10"/>
      <c r="P115" s="10"/>
      <c r="Q115" s="1"/>
      <c r="R115" s="1"/>
      <c r="S115" s="1"/>
      <c r="T115" s="1"/>
      <c r="U115" s="1"/>
      <c r="V115" s="10"/>
      <c r="W115" s="10"/>
      <c r="X115" s="1"/>
      <c r="Y115" s="1"/>
      <c r="Z115" s="1"/>
      <c r="AA115" s="1"/>
      <c r="AB115" s="1"/>
      <c r="AC115" s="10"/>
      <c r="AD115" s="10"/>
      <c r="AE115" s="1"/>
      <c r="AF115" s="1"/>
      <c r="AG115" s="1"/>
      <c r="AH115" s="5"/>
      <c r="AK115" s="48"/>
      <c r="AL115" s="26"/>
      <c r="AM115" s="29">
        <v>0</v>
      </c>
    </row>
    <row r="116" spans="2:39" ht="35.25" thickBot="1" x14ac:dyDescent="0.55000000000000004">
      <c r="AI116" s="55"/>
      <c r="AJ116" s="55"/>
      <c r="AK116" s="54" t="s">
        <v>11</v>
      </c>
      <c r="AL116" s="148"/>
      <c r="AM116" s="28"/>
    </row>
    <row r="117" spans="2:39" ht="35.25" thickBot="1" x14ac:dyDescent="0.55000000000000004">
      <c r="D117" s="194">
        <v>46569</v>
      </c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6"/>
      <c r="AI117" s="55"/>
      <c r="AJ117" s="55" t="s">
        <v>53</v>
      </c>
      <c r="AK117" s="53">
        <f>SUM(AK111-AM115)</f>
        <v>0</v>
      </c>
      <c r="AL117" s="148"/>
      <c r="AM117" s="24"/>
    </row>
    <row r="118" spans="2:39" x14ac:dyDescent="0.2">
      <c r="D118" s="16">
        <v>1</v>
      </c>
      <c r="E118" s="1">
        <v>2</v>
      </c>
      <c r="F118" s="10">
        <v>3</v>
      </c>
      <c r="G118" s="10">
        <v>4</v>
      </c>
      <c r="H118" s="1">
        <v>5</v>
      </c>
      <c r="I118" s="1">
        <v>6</v>
      </c>
      <c r="J118" s="1">
        <v>7</v>
      </c>
      <c r="K118" s="1">
        <v>8</v>
      </c>
      <c r="L118" s="1">
        <v>9</v>
      </c>
      <c r="M118" s="10">
        <v>10</v>
      </c>
      <c r="N118" s="10">
        <v>11</v>
      </c>
      <c r="O118" s="1">
        <v>12</v>
      </c>
      <c r="P118" s="1">
        <v>13</v>
      </c>
      <c r="Q118" s="1">
        <v>14</v>
      </c>
      <c r="R118" s="1">
        <v>15</v>
      </c>
      <c r="S118" s="1">
        <v>16</v>
      </c>
      <c r="T118" s="10">
        <v>17</v>
      </c>
      <c r="U118" s="10">
        <v>18</v>
      </c>
      <c r="V118" s="1">
        <v>19</v>
      </c>
      <c r="W118" s="1">
        <v>20</v>
      </c>
      <c r="X118" s="1">
        <v>21</v>
      </c>
      <c r="Y118" s="1">
        <v>22</v>
      </c>
      <c r="Z118" s="1">
        <v>23</v>
      </c>
      <c r="AA118" s="10">
        <v>24</v>
      </c>
      <c r="AB118" s="10">
        <v>25</v>
      </c>
      <c r="AC118" s="1">
        <v>26</v>
      </c>
      <c r="AD118" s="1">
        <v>27</v>
      </c>
      <c r="AE118" s="1">
        <v>28</v>
      </c>
      <c r="AF118" s="1">
        <v>29</v>
      </c>
      <c r="AG118" s="1">
        <v>30</v>
      </c>
      <c r="AH118" s="14">
        <v>31</v>
      </c>
      <c r="AK118" s="49"/>
      <c r="AL118" s="23"/>
      <c r="AM118" s="24"/>
    </row>
    <row r="119" spans="2:39" x14ac:dyDescent="0.2">
      <c r="D119" s="20" t="s">
        <v>1</v>
      </c>
      <c r="E119" s="1"/>
      <c r="F119" s="10"/>
      <c r="G119" s="10"/>
      <c r="H119" s="1"/>
      <c r="I119" s="1"/>
      <c r="J119" s="1"/>
      <c r="K119" s="1"/>
      <c r="L119" s="1"/>
      <c r="M119" s="10"/>
      <c r="N119" s="10"/>
      <c r="O119" s="1"/>
      <c r="P119" s="1"/>
      <c r="Q119" s="1"/>
      <c r="R119" s="1"/>
      <c r="S119" s="1"/>
      <c r="T119" s="10"/>
      <c r="U119" s="10"/>
      <c r="V119" s="1"/>
      <c r="W119" s="1"/>
      <c r="X119" s="1"/>
      <c r="Y119" s="1"/>
      <c r="Z119" s="1"/>
      <c r="AA119" s="10"/>
      <c r="AB119" s="10"/>
      <c r="AC119" s="1"/>
      <c r="AD119" s="1"/>
      <c r="AE119" s="1"/>
      <c r="AF119" s="1"/>
      <c r="AG119" s="1"/>
      <c r="AH119" s="14"/>
      <c r="AK119" s="47"/>
      <c r="AL119" s="23"/>
      <c r="AM119" s="24"/>
    </row>
    <row r="120" spans="2:39" x14ac:dyDescent="0.2">
      <c r="D120" s="16"/>
      <c r="E120" s="1"/>
      <c r="F120" s="10"/>
      <c r="G120" s="10"/>
      <c r="H120" s="1"/>
      <c r="I120" s="1"/>
      <c r="J120" s="1"/>
      <c r="K120" s="1"/>
      <c r="L120" s="1"/>
      <c r="M120" s="10"/>
      <c r="N120" s="10"/>
      <c r="O120" s="1"/>
      <c r="P120" s="1"/>
      <c r="Q120" s="1"/>
      <c r="R120" s="1"/>
      <c r="S120" s="1"/>
      <c r="T120" s="10"/>
      <c r="U120" s="10"/>
      <c r="V120" s="1"/>
      <c r="W120" s="1"/>
      <c r="X120" s="1"/>
      <c r="Y120" s="1"/>
      <c r="Z120" s="1"/>
      <c r="AA120" s="10"/>
      <c r="AB120" s="10"/>
      <c r="AC120" s="1"/>
      <c r="AD120" s="1"/>
      <c r="AE120" s="1"/>
      <c r="AF120" s="1"/>
      <c r="AG120" s="1"/>
      <c r="AH120" s="14"/>
      <c r="AK120" s="47"/>
      <c r="AL120" s="23"/>
      <c r="AM120" s="24"/>
    </row>
    <row r="121" spans="2:39" ht="15.75" thickBot="1" x14ac:dyDescent="0.25">
      <c r="D121" s="17"/>
      <c r="E121" s="7"/>
      <c r="F121" s="11"/>
      <c r="G121" s="11"/>
      <c r="H121" s="7"/>
      <c r="I121" s="7"/>
      <c r="J121" s="7"/>
      <c r="K121" s="7"/>
      <c r="L121" s="7"/>
      <c r="M121" s="11"/>
      <c r="N121" s="11"/>
      <c r="O121" s="7"/>
      <c r="P121" s="7"/>
      <c r="Q121" s="7"/>
      <c r="R121" s="7"/>
      <c r="S121" s="7"/>
      <c r="T121" s="11"/>
      <c r="U121" s="11"/>
      <c r="V121" s="7"/>
      <c r="W121" s="7"/>
      <c r="X121" s="7"/>
      <c r="Y121" s="7"/>
      <c r="Z121" s="7"/>
      <c r="AA121" s="11"/>
      <c r="AB121" s="11"/>
      <c r="AC121" s="7"/>
      <c r="AD121" s="7"/>
      <c r="AE121" s="7"/>
      <c r="AF121" s="7"/>
      <c r="AG121" s="7"/>
      <c r="AH121" s="15"/>
      <c r="AK121" s="47"/>
      <c r="AL121" s="23"/>
      <c r="AM121" s="24"/>
    </row>
    <row r="132" spans="4:4" x14ac:dyDescent="0.2">
      <c r="D132" t="s">
        <v>20</v>
      </c>
    </row>
    <row r="133" spans="4:4" x14ac:dyDescent="0.2">
      <c r="D133" t="s">
        <v>21</v>
      </c>
    </row>
    <row r="134" spans="4:4" x14ac:dyDescent="0.2">
      <c r="D134" t="s">
        <v>22</v>
      </c>
    </row>
    <row r="135" spans="4:4" x14ac:dyDescent="0.2">
      <c r="D135" t="s">
        <v>23</v>
      </c>
    </row>
    <row r="136" spans="4:4" x14ac:dyDescent="0.2">
      <c r="D136" t="s">
        <v>24</v>
      </c>
    </row>
    <row r="137" spans="4:4" x14ac:dyDescent="0.2">
      <c r="D137" t="s">
        <v>25</v>
      </c>
    </row>
    <row r="138" spans="4:4" x14ac:dyDescent="0.2">
      <c r="D138" t="s">
        <v>26</v>
      </c>
    </row>
    <row r="139" spans="4:4" x14ac:dyDescent="0.2">
      <c r="D139" t="s">
        <v>27</v>
      </c>
    </row>
    <row r="140" spans="4:4" x14ac:dyDescent="0.2">
      <c r="D140" s="86" t="s">
        <v>28</v>
      </c>
    </row>
  </sheetData>
  <mergeCells count="70">
    <mergeCell ref="D117:AH117"/>
    <mergeCell ref="D71:AG71"/>
    <mergeCell ref="D77:AH77"/>
    <mergeCell ref="D83:AH83"/>
    <mergeCell ref="D111:AH111"/>
    <mergeCell ref="V72:W72"/>
    <mergeCell ref="AC73:AD73"/>
    <mergeCell ref="D75:AH75"/>
    <mergeCell ref="J78:L78"/>
    <mergeCell ref="M78:N78"/>
    <mergeCell ref="D105:AH105"/>
    <mergeCell ref="D69:AH69"/>
    <mergeCell ref="O72:P72"/>
    <mergeCell ref="S72:U72"/>
    <mergeCell ref="D99:AH99"/>
    <mergeCell ref="D101:AG101"/>
    <mergeCell ref="D81:AH81"/>
    <mergeCell ref="D87:AH87"/>
    <mergeCell ref="D89:AE89"/>
    <mergeCell ref="D93:AH93"/>
    <mergeCell ref="D59:AG59"/>
    <mergeCell ref="D63:AH63"/>
    <mergeCell ref="BL64:CP64"/>
    <mergeCell ref="H66:I66"/>
    <mergeCell ref="V66:X66"/>
    <mergeCell ref="Y66:Z66"/>
    <mergeCell ref="D65:L65"/>
    <mergeCell ref="M65:AH65"/>
    <mergeCell ref="D41:AG41"/>
    <mergeCell ref="B45:C115"/>
    <mergeCell ref="D45:AH45"/>
    <mergeCell ref="P48:R48"/>
    <mergeCell ref="S48:T48"/>
    <mergeCell ref="W48:X48"/>
    <mergeCell ref="AG48:AH48"/>
    <mergeCell ref="D51:AH51"/>
    <mergeCell ref="P54:Q54"/>
    <mergeCell ref="T54:V54"/>
    <mergeCell ref="W54:X54"/>
    <mergeCell ref="AA53:AH53"/>
    <mergeCell ref="L55:R55"/>
    <mergeCell ref="D57:AH57"/>
    <mergeCell ref="Q60:S60"/>
    <mergeCell ref="T60:U60"/>
    <mergeCell ref="AC24:AE24"/>
    <mergeCell ref="D27:AH27"/>
    <mergeCell ref="D33:AH33"/>
    <mergeCell ref="E35:AH35"/>
    <mergeCell ref="D39:AH39"/>
    <mergeCell ref="D1:AH1"/>
    <mergeCell ref="D4:AH4"/>
    <mergeCell ref="D8:AH8"/>
    <mergeCell ref="D11:AA11"/>
    <mergeCell ref="AB11:AH11"/>
    <mergeCell ref="U47:AB47"/>
    <mergeCell ref="D53:Z53"/>
    <mergeCell ref="D95:AD95"/>
    <mergeCell ref="AE95:AH95"/>
    <mergeCell ref="P13:R13"/>
    <mergeCell ref="D29:F29"/>
    <mergeCell ref="G29:AF29"/>
    <mergeCell ref="D15:AH15"/>
    <mergeCell ref="E17:M17"/>
    <mergeCell ref="N17:AE17"/>
    <mergeCell ref="Y18:AE18"/>
    <mergeCell ref="D21:AH21"/>
    <mergeCell ref="D23:AH23"/>
    <mergeCell ref="D24:K24"/>
    <mergeCell ref="L24:W24"/>
    <mergeCell ref="Z24:AB24"/>
  </mergeCells>
  <pageMargins left="0.7" right="0.7" top="0.75" bottom="0.75" header="0.3" footer="0.3"/>
  <pageSetup scale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675F-E2CC-C74A-BCE2-D0D7B4D5D1B0}">
  <sheetPr>
    <pageSetUpPr fitToPage="1"/>
  </sheetPr>
  <dimension ref="A1:CP140"/>
  <sheetViews>
    <sheetView topLeftCell="B66" zoomScale="80" zoomScaleNormal="80" workbookViewId="0">
      <selection activeCell="H60" sqref="H60"/>
    </sheetView>
  </sheetViews>
  <sheetFormatPr defaultRowHeight="15" x14ac:dyDescent="0.2"/>
  <cols>
    <col min="20" max="20" width="10.625" customWidth="1"/>
    <col min="35" max="35" width="15.19921875" style="114" customWidth="1"/>
    <col min="36" max="36" width="15.46875" style="114" customWidth="1"/>
    <col min="37" max="37" width="13.5859375" style="50" bestFit="1" customWidth="1"/>
    <col min="38" max="38" width="8.609375" style="114"/>
    <col min="39" max="39" width="8.609375" style="25"/>
  </cols>
  <sheetData>
    <row r="1" spans="4:39" x14ac:dyDescent="0.2">
      <c r="D1" s="194">
        <v>45992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6"/>
      <c r="AK1" s="47">
        <v>68</v>
      </c>
      <c r="AL1" s="23"/>
      <c r="AM1" s="24"/>
    </row>
    <row r="2" spans="4:39" x14ac:dyDescent="0.2">
      <c r="D2" s="111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3"/>
      <c r="AK2" s="47"/>
      <c r="AL2" s="23"/>
      <c r="AM2" s="24"/>
    </row>
    <row r="3" spans="4:39" x14ac:dyDescent="0.2">
      <c r="D3" s="30">
        <v>1</v>
      </c>
      <c r="E3" s="31">
        <v>2</v>
      </c>
      <c r="F3" s="31">
        <v>3</v>
      </c>
      <c r="G3" s="31">
        <v>4</v>
      </c>
      <c r="H3" s="31">
        <v>5</v>
      </c>
      <c r="I3" s="10">
        <v>6</v>
      </c>
      <c r="J3" s="10">
        <v>7</v>
      </c>
      <c r="K3" s="31">
        <v>8</v>
      </c>
      <c r="L3" s="31">
        <v>9</v>
      </c>
      <c r="M3" s="31">
        <v>10</v>
      </c>
      <c r="N3" s="31">
        <v>11</v>
      </c>
      <c r="O3" s="31">
        <v>12</v>
      </c>
      <c r="P3" s="10">
        <v>13</v>
      </c>
      <c r="Q3" s="10">
        <v>14</v>
      </c>
      <c r="R3" s="31">
        <v>15</v>
      </c>
      <c r="S3" s="31">
        <v>16</v>
      </c>
      <c r="T3" s="31">
        <v>17</v>
      </c>
      <c r="U3" s="31">
        <v>18</v>
      </c>
      <c r="V3" s="31">
        <v>19</v>
      </c>
      <c r="W3" s="10">
        <v>20</v>
      </c>
      <c r="X3" s="10">
        <v>21</v>
      </c>
      <c r="Y3" s="31">
        <v>22</v>
      </c>
      <c r="Z3" s="31">
        <v>23</v>
      </c>
      <c r="AA3" s="31">
        <v>24</v>
      </c>
      <c r="AB3" s="31">
        <v>25</v>
      </c>
      <c r="AC3" s="31">
        <v>26</v>
      </c>
      <c r="AD3" s="10">
        <v>27</v>
      </c>
      <c r="AE3" s="10">
        <v>28</v>
      </c>
      <c r="AF3" s="31">
        <v>29</v>
      </c>
      <c r="AG3" s="31">
        <v>30</v>
      </c>
      <c r="AH3" s="34">
        <v>31</v>
      </c>
      <c r="AK3" s="47"/>
      <c r="AL3" s="23"/>
      <c r="AM3" s="24"/>
    </row>
    <row r="4" spans="4:39" x14ac:dyDescent="0.2">
      <c r="D4" s="223" t="s">
        <v>5</v>
      </c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5"/>
      <c r="AK4" s="47"/>
      <c r="AL4" s="23"/>
      <c r="AM4" s="24"/>
    </row>
    <row r="5" spans="4:39" ht="15.75" thickBot="1" x14ac:dyDescent="0.25">
      <c r="D5" s="30"/>
      <c r="E5" s="31"/>
      <c r="F5" s="31"/>
      <c r="G5" s="31"/>
      <c r="H5" s="31"/>
      <c r="I5" s="10"/>
      <c r="J5" s="10"/>
      <c r="K5" s="31"/>
      <c r="L5" s="31"/>
      <c r="M5" s="31"/>
      <c r="N5" s="31"/>
      <c r="O5" s="31"/>
      <c r="P5" s="10"/>
      <c r="Q5" s="10"/>
      <c r="R5" s="31"/>
      <c r="S5" s="31"/>
      <c r="T5" s="31"/>
      <c r="U5" s="31"/>
      <c r="V5" s="31"/>
      <c r="W5" s="10"/>
      <c r="X5" s="10"/>
      <c r="Y5" s="31"/>
      <c r="Z5" s="31"/>
      <c r="AA5" s="31"/>
      <c r="AB5" s="31"/>
      <c r="AC5" s="31"/>
      <c r="AD5" s="10"/>
      <c r="AE5" s="10"/>
      <c r="AF5" s="31"/>
      <c r="AG5" s="31"/>
      <c r="AH5" s="34"/>
      <c r="AK5" s="47"/>
      <c r="AL5" s="23"/>
      <c r="AM5" s="24"/>
    </row>
    <row r="6" spans="4:39" ht="15.75" thickBot="1" x14ac:dyDescent="0.25">
      <c r="D6" s="32"/>
      <c r="E6" s="33"/>
      <c r="F6" s="33"/>
      <c r="G6" s="33"/>
      <c r="H6" s="33"/>
      <c r="I6" s="11"/>
      <c r="J6" s="11"/>
      <c r="K6" s="33"/>
      <c r="L6" s="33"/>
      <c r="M6" s="33"/>
      <c r="N6" s="33"/>
      <c r="O6" s="33"/>
      <c r="P6" s="11"/>
      <c r="Q6" s="11"/>
      <c r="R6" s="33"/>
      <c r="S6" s="33"/>
      <c r="T6" s="33"/>
      <c r="U6" s="33"/>
      <c r="V6" s="33"/>
      <c r="W6" s="11"/>
      <c r="X6" s="11"/>
      <c r="Y6" s="33"/>
      <c r="Z6" s="33"/>
      <c r="AA6" s="33"/>
      <c r="AB6" s="33"/>
      <c r="AC6" s="33"/>
      <c r="AD6" s="11"/>
      <c r="AE6" s="11"/>
      <c r="AF6" s="33"/>
      <c r="AG6" s="33"/>
      <c r="AH6" s="35"/>
      <c r="AK6" s="47"/>
      <c r="AL6" s="23"/>
      <c r="AM6" s="29">
        <v>0</v>
      </c>
    </row>
    <row r="7" spans="4:39" ht="15.75" thickBot="1" x14ac:dyDescent="0.25">
      <c r="AK7" s="47"/>
      <c r="AL7" s="23"/>
      <c r="AM7" s="24"/>
    </row>
    <row r="8" spans="4:39" x14ac:dyDescent="0.2">
      <c r="D8" s="194">
        <v>46023</v>
      </c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6"/>
      <c r="AK8" s="47">
        <f>SUM(AK1+2.5-AM6)</f>
        <v>70.5</v>
      </c>
      <c r="AL8" s="23"/>
      <c r="AM8" s="24"/>
    </row>
    <row r="9" spans="4:39" x14ac:dyDescent="0.2">
      <c r="D9" s="111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3"/>
      <c r="AK9" s="47"/>
      <c r="AL9" s="23"/>
      <c r="AM9" s="24"/>
    </row>
    <row r="10" spans="4:39" x14ac:dyDescent="0.2">
      <c r="D10" s="30">
        <v>1</v>
      </c>
      <c r="E10" s="31">
        <v>2</v>
      </c>
      <c r="F10" s="38">
        <v>3</v>
      </c>
      <c r="G10" s="38">
        <v>4</v>
      </c>
      <c r="H10" s="31">
        <v>5</v>
      </c>
      <c r="I10" s="31">
        <v>6</v>
      </c>
      <c r="J10" s="31">
        <v>7</v>
      </c>
      <c r="K10" s="31">
        <v>8</v>
      </c>
      <c r="L10" s="31">
        <v>9</v>
      </c>
      <c r="M10" s="38">
        <v>10</v>
      </c>
      <c r="N10" s="38">
        <v>11</v>
      </c>
      <c r="O10" s="31">
        <v>12</v>
      </c>
      <c r="P10" s="31">
        <v>13</v>
      </c>
      <c r="Q10" s="31">
        <v>14</v>
      </c>
      <c r="R10" s="31">
        <v>15</v>
      </c>
      <c r="S10" s="31">
        <v>16</v>
      </c>
      <c r="T10" s="38">
        <v>17</v>
      </c>
      <c r="U10" s="38">
        <v>18</v>
      </c>
      <c r="V10" s="31">
        <v>19</v>
      </c>
      <c r="W10" s="31">
        <v>20</v>
      </c>
      <c r="X10" s="31">
        <v>21</v>
      </c>
      <c r="Y10" s="31">
        <v>22</v>
      </c>
      <c r="Z10" s="31">
        <v>23</v>
      </c>
      <c r="AA10" s="38">
        <v>24</v>
      </c>
      <c r="AB10" s="38">
        <v>25</v>
      </c>
      <c r="AC10" s="31">
        <v>26</v>
      </c>
      <c r="AD10" s="31">
        <v>27</v>
      </c>
      <c r="AE10" s="31">
        <v>28</v>
      </c>
      <c r="AF10" s="31">
        <v>29</v>
      </c>
      <c r="AG10" s="31">
        <v>30</v>
      </c>
      <c r="AH10" s="40">
        <v>31</v>
      </c>
      <c r="AK10" s="47"/>
      <c r="AL10" s="23"/>
      <c r="AM10" s="24"/>
    </row>
    <row r="11" spans="4:39" x14ac:dyDescent="0.2">
      <c r="D11" s="223" t="s">
        <v>5</v>
      </c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6"/>
      <c r="AB11" s="227" t="s">
        <v>37</v>
      </c>
      <c r="AC11" s="228"/>
      <c r="AD11" s="228"/>
      <c r="AE11" s="228"/>
      <c r="AF11" s="228"/>
      <c r="AG11" s="228"/>
      <c r="AH11" s="229"/>
      <c r="AK11" s="47"/>
      <c r="AL11" s="23"/>
      <c r="AM11" s="24"/>
    </row>
    <row r="12" spans="4:39" ht="15.75" thickBot="1" x14ac:dyDescent="0.25">
      <c r="D12" s="30"/>
      <c r="E12" s="31"/>
      <c r="F12" s="38"/>
      <c r="G12" s="38"/>
      <c r="H12" s="31"/>
      <c r="I12" s="31"/>
      <c r="J12" s="31"/>
      <c r="K12" s="31"/>
      <c r="L12" s="31"/>
      <c r="M12" s="38"/>
      <c r="N12" s="38"/>
      <c r="O12" s="31"/>
      <c r="P12" s="31"/>
      <c r="Q12" s="31"/>
      <c r="R12" s="31"/>
      <c r="S12" s="31"/>
      <c r="T12" s="38"/>
      <c r="U12" s="38"/>
      <c r="V12" s="31"/>
      <c r="W12" s="31"/>
      <c r="X12" s="31"/>
      <c r="Y12" s="31"/>
      <c r="Z12" s="33"/>
      <c r="AA12" s="39"/>
      <c r="AB12" s="39"/>
      <c r="AC12" s="33"/>
      <c r="AD12" s="33"/>
      <c r="AE12" s="33"/>
      <c r="AF12" s="33"/>
      <c r="AG12" s="33"/>
      <c r="AH12" s="41"/>
      <c r="AK12" s="47"/>
      <c r="AL12" s="23"/>
      <c r="AM12" s="24"/>
    </row>
    <row r="13" spans="4:39" ht="15.75" thickBot="1" x14ac:dyDescent="0.25">
      <c r="D13" s="32"/>
      <c r="E13" s="33"/>
      <c r="F13" s="39"/>
      <c r="G13" s="39"/>
      <c r="H13" s="33"/>
      <c r="I13" s="33"/>
      <c r="J13" s="33"/>
      <c r="K13" s="33"/>
      <c r="L13" s="33"/>
      <c r="M13" s="39"/>
      <c r="N13" s="39"/>
      <c r="O13" s="45"/>
      <c r="P13" s="221" t="s">
        <v>8</v>
      </c>
      <c r="Q13" s="222"/>
      <c r="R13" s="222"/>
      <c r="S13" s="46"/>
      <c r="T13" s="39"/>
      <c r="U13" s="39"/>
      <c r="V13" s="33"/>
      <c r="W13" s="33"/>
      <c r="X13" s="33"/>
      <c r="Y13" s="33"/>
      <c r="Z13" s="33"/>
      <c r="AA13" s="39"/>
      <c r="AB13" s="39"/>
      <c r="AC13" s="33"/>
      <c r="AD13" s="33"/>
      <c r="AE13" s="33"/>
      <c r="AF13" s="33"/>
      <c r="AG13" s="33"/>
      <c r="AH13" s="41"/>
      <c r="AK13" s="47"/>
      <c r="AL13" s="23"/>
      <c r="AM13" s="29">
        <v>7</v>
      </c>
    </row>
    <row r="14" spans="4:39" ht="15.75" thickBot="1" x14ac:dyDescent="0.25">
      <c r="AK14" s="47"/>
      <c r="AL14" s="23"/>
      <c r="AM14" s="24"/>
    </row>
    <row r="15" spans="4:39" x14ac:dyDescent="0.2">
      <c r="D15" s="194">
        <v>46054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6"/>
      <c r="AK15" s="47">
        <f>SUM(AK8+2.5-AM13)</f>
        <v>66</v>
      </c>
      <c r="AL15" s="23"/>
      <c r="AM15" s="24"/>
    </row>
    <row r="16" spans="4:39" x14ac:dyDescent="0.2">
      <c r="D16" s="42">
        <v>1</v>
      </c>
      <c r="E16" s="1">
        <v>2</v>
      </c>
      <c r="F16" s="1">
        <v>3</v>
      </c>
      <c r="G16" s="1">
        <v>4</v>
      </c>
      <c r="H16" s="31">
        <v>5</v>
      </c>
      <c r="I16" s="31">
        <v>6</v>
      </c>
      <c r="J16" s="38">
        <v>7</v>
      </c>
      <c r="K16" s="38">
        <v>8</v>
      </c>
      <c r="L16" s="31">
        <v>9</v>
      </c>
      <c r="M16" s="31">
        <v>10</v>
      </c>
      <c r="N16" s="31">
        <v>11</v>
      </c>
      <c r="O16" s="31">
        <v>12</v>
      </c>
      <c r="P16" s="31">
        <v>13</v>
      </c>
      <c r="Q16" s="38">
        <v>14</v>
      </c>
      <c r="R16" s="38">
        <v>15</v>
      </c>
      <c r="S16" s="31">
        <v>16</v>
      </c>
      <c r="T16" s="31">
        <v>17</v>
      </c>
      <c r="U16" s="31">
        <v>18</v>
      </c>
      <c r="V16" s="31">
        <v>19</v>
      </c>
      <c r="W16" s="31">
        <v>20</v>
      </c>
      <c r="X16" s="38">
        <v>21</v>
      </c>
      <c r="Y16" s="38">
        <v>22</v>
      </c>
      <c r="Z16" s="31">
        <v>23</v>
      </c>
      <c r="AA16" s="31">
        <v>24</v>
      </c>
      <c r="AB16" s="31">
        <v>25</v>
      </c>
      <c r="AC16" s="31">
        <v>26</v>
      </c>
      <c r="AD16" s="31">
        <v>27</v>
      </c>
      <c r="AE16" s="38">
        <v>28</v>
      </c>
      <c r="AF16" s="38">
        <v>29</v>
      </c>
      <c r="AG16" s="1"/>
      <c r="AH16" s="5"/>
      <c r="AK16" s="47"/>
      <c r="AL16" s="23"/>
      <c r="AM16" s="24"/>
    </row>
    <row r="17" spans="4:41" x14ac:dyDescent="0.2">
      <c r="D17" s="18"/>
      <c r="E17" s="233" t="s">
        <v>5</v>
      </c>
      <c r="F17" s="224"/>
      <c r="G17" s="224"/>
      <c r="H17" s="224"/>
      <c r="I17" s="224"/>
      <c r="J17" s="224"/>
      <c r="K17" s="224"/>
      <c r="L17" s="224"/>
      <c r="M17" s="226"/>
      <c r="N17" s="234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6"/>
      <c r="AF17" s="38"/>
      <c r="AG17" s="1"/>
      <c r="AH17" s="5"/>
      <c r="AK17" s="47"/>
      <c r="AL17" s="23"/>
      <c r="AM17" s="24"/>
    </row>
    <row r="18" spans="4:41" ht="15.75" thickBot="1" x14ac:dyDescent="0.25">
      <c r="D18" s="18" t="s">
        <v>4</v>
      </c>
      <c r="E18" s="1"/>
      <c r="F18" s="1"/>
      <c r="G18" s="1"/>
      <c r="H18" s="31"/>
      <c r="I18" s="31"/>
      <c r="J18" s="38"/>
      <c r="K18" s="38"/>
      <c r="L18" s="31"/>
      <c r="M18" s="31"/>
      <c r="N18" s="31"/>
      <c r="O18" s="31"/>
      <c r="P18" s="31"/>
      <c r="Q18" s="38"/>
      <c r="R18" s="38"/>
      <c r="S18" s="31"/>
      <c r="T18" s="31"/>
      <c r="U18" s="31"/>
      <c r="V18" s="31"/>
      <c r="W18" s="31"/>
      <c r="X18" s="38"/>
      <c r="Y18" s="237" t="s">
        <v>7</v>
      </c>
      <c r="Z18" s="238"/>
      <c r="AA18" s="238"/>
      <c r="AB18" s="238"/>
      <c r="AC18" s="238"/>
      <c r="AD18" s="238"/>
      <c r="AE18" s="238"/>
      <c r="AF18" s="110"/>
      <c r="AG18" s="1"/>
      <c r="AH18" s="5"/>
      <c r="AK18" s="47"/>
      <c r="AL18" s="23"/>
      <c r="AM18" s="24"/>
    </row>
    <row r="19" spans="4:41" ht="15.75" thickBot="1" x14ac:dyDescent="0.25">
      <c r="D19" s="19"/>
      <c r="E19" s="7"/>
      <c r="F19" s="7"/>
      <c r="G19" s="7"/>
      <c r="H19" s="33"/>
      <c r="I19" s="33"/>
      <c r="J19" s="39"/>
      <c r="K19" s="39"/>
      <c r="L19" s="22" t="s">
        <v>9</v>
      </c>
      <c r="M19" s="33"/>
      <c r="N19" s="33"/>
      <c r="O19" s="33"/>
      <c r="P19" s="33"/>
      <c r="Q19" s="39"/>
      <c r="R19" s="39"/>
      <c r="S19" s="33"/>
      <c r="T19" s="33"/>
      <c r="U19" s="33"/>
      <c r="V19" s="33"/>
      <c r="W19" s="33"/>
      <c r="X19" s="39"/>
      <c r="Y19" s="39"/>
      <c r="Z19" s="33"/>
      <c r="AA19" s="33"/>
      <c r="AB19" s="33"/>
      <c r="AC19" s="33"/>
      <c r="AD19" s="33"/>
      <c r="AE19" s="39"/>
      <c r="AF19" s="39"/>
      <c r="AG19" s="7"/>
      <c r="AH19" s="8"/>
      <c r="AK19" s="47"/>
      <c r="AL19" s="23"/>
      <c r="AM19" s="29">
        <v>1</v>
      </c>
    </row>
    <row r="20" spans="4:41" ht="15.75" thickBot="1" x14ac:dyDescent="0.25">
      <c r="AK20" s="47"/>
      <c r="AL20" s="23"/>
      <c r="AM20" s="28"/>
    </row>
    <row r="21" spans="4:41" x14ac:dyDescent="0.2">
      <c r="D21" s="194">
        <v>46082</v>
      </c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6"/>
      <c r="AJ21" s="114" t="s">
        <v>0</v>
      </c>
      <c r="AK21" s="47">
        <f>SUM(AK15+2.5-AM19)</f>
        <v>67.5</v>
      </c>
      <c r="AL21" s="23"/>
      <c r="AM21" s="24"/>
    </row>
    <row r="22" spans="4:41" x14ac:dyDescent="0.2">
      <c r="D22" s="42">
        <v>1</v>
      </c>
      <c r="E22" s="1">
        <v>2</v>
      </c>
      <c r="F22" s="31">
        <v>3</v>
      </c>
      <c r="G22" s="31">
        <v>4</v>
      </c>
      <c r="H22" s="31">
        <v>5</v>
      </c>
      <c r="I22" s="31">
        <v>6</v>
      </c>
      <c r="J22" s="38">
        <v>7</v>
      </c>
      <c r="K22" s="38">
        <v>8</v>
      </c>
      <c r="L22" s="31">
        <v>9</v>
      </c>
      <c r="M22" s="31">
        <v>10</v>
      </c>
      <c r="N22" s="31">
        <v>11</v>
      </c>
      <c r="O22" s="31">
        <v>12</v>
      </c>
      <c r="P22" s="31">
        <v>13</v>
      </c>
      <c r="Q22" s="38">
        <v>14</v>
      </c>
      <c r="R22" s="38">
        <v>15</v>
      </c>
      <c r="S22" s="31">
        <v>16</v>
      </c>
      <c r="T22" s="31">
        <v>17</v>
      </c>
      <c r="U22" s="31">
        <v>18</v>
      </c>
      <c r="V22" s="31">
        <v>19</v>
      </c>
      <c r="W22" s="31">
        <v>20</v>
      </c>
      <c r="X22" s="38">
        <v>21</v>
      </c>
      <c r="Y22" s="38">
        <v>22</v>
      </c>
      <c r="Z22" s="31">
        <v>23</v>
      </c>
      <c r="AA22" s="31">
        <v>24</v>
      </c>
      <c r="AB22" s="31">
        <v>25</v>
      </c>
      <c r="AC22" s="31">
        <v>26</v>
      </c>
      <c r="AD22" s="31">
        <v>27</v>
      </c>
      <c r="AE22" s="38">
        <v>28</v>
      </c>
      <c r="AF22" s="38">
        <v>29</v>
      </c>
      <c r="AG22" s="31">
        <v>30</v>
      </c>
      <c r="AH22" s="34">
        <v>31</v>
      </c>
      <c r="AK22" s="47"/>
      <c r="AL22" s="23"/>
      <c r="AM22" s="24"/>
    </row>
    <row r="23" spans="4:41" x14ac:dyDescent="0.2">
      <c r="D23" s="223" t="s">
        <v>5</v>
      </c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5"/>
      <c r="AK23" s="47"/>
      <c r="AL23" s="23"/>
      <c r="AM23" s="24"/>
    </row>
    <row r="24" spans="4:41" ht="15.75" thickBot="1" x14ac:dyDescent="0.25">
      <c r="D24" s="237" t="s">
        <v>6</v>
      </c>
      <c r="E24" s="239"/>
      <c r="F24" s="239"/>
      <c r="G24" s="239"/>
      <c r="H24" s="239"/>
      <c r="I24" s="239"/>
      <c r="J24" s="239"/>
      <c r="K24" s="240"/>
      <c r="L24" s="241" t="s">
        <v>10</v>
      </c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3"/>
      <c r="X24" s="38"/>
      <c r="Y24" s="38"/>
      <c r="Z24" s="237" t="s">
        <v>13</v>
      </c>
      <c r="AA24" s="239"/>
      <c r="AB24" s="239"/>
      <c r="AC24" s="237" t="s">
        <v>14</v>
      </c>
      <c r="AD24" s="239"/>
      <c r="AE24" s="239"/>
      <c r="AF24" s="39"/>
      <c r="AG24" s="31"/>
      <c r="AH24" s="34"/>
      <c r="AK24" s="47"/>
      <c r="AL24" s="23"/>
      <c r="AM24" s="24"/>
    </row>
    <row r="25" spans="4:41" ht="15.75" thickBot="1" x14ac:dyDescent="0.25">
      <c r="D25" s="43"/>
      <c r="E25" s="7"/>
      <c r="F25" s="33"/>
      <c r="G25" s="33"/>
      <c r="H25" s="33"/>
      <c r="I25" s="33"/>
      <c r="J25" s="39"/>
      <c r="K25" s="39"/>
      <c r="L25" s="33"/>
      <c r="M25" s="33"/>
      <c r="N25" s="33"/>
      <c r="O25" s="33"/>
      <c r="P25" s="33"/>
      <c r="Q25" s="39"/>
      <c r="R25" s="39"/>
      <c r="S25" s="33"/>
      <c r="T25" s="33"/>
      <c r="U25" s="33"/>
      <c r="V25" s="33"/>
      <c r="W25" s="33"/>
      <c r="X25" s="39"/>
      <c r="Y25" s="39"/>
      <c r="Z25" s="33"/>
      <c r="AA25" s="33"/>
      <c r="AB25" s="33"/>
      <c r="AC25" s="33"/>
      <c r="AD25" s="33"/>
      <c r="AE25" s="39"/>
      <c r="AF25" s="39"/>
      <c r="AG25" s="33"/>
      <c r="AH25" s="35"/>
      <c r="AK25" s="47"/>
      <c r="AL25" s="23"/>
      <c r="AM25" s="29">
        <v>0</v>
      </c>
    </row>
    <row r="26" spans="4:41" ht="30" thickBot="1" x14ac:dyDescent="0.4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K26" s="47"/>
      <c r="AL26" s="23"/>
      <c r="AM26" s="28"/>
      <c r="AO26" s="126" t="s">
        <v>42</v>
      </c>
    </row>
    <row r="27" spans="4:41" ht="30" thickBot="1" x14ac:dyDescent="0.45">
      <c r="D27" s="190">
        <v>46113</v>
      </c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2"/>
      <c r="AG27" s="192"/>
      <c r="AH27" s="193"/>
      <c r="AJ27" s="114" t="s">
        <v>50</v>
      </c>
      <c r="AK27" s="47">
        <v>69</v>
      </c>
      <c r="AL27" s="23"/>
      <c r="AM27" s="24"/>
      <c r="AO27" s="126">
        <v>23</v>
      </c>
    </row>
    <row r="28" spans="4:41" ht="29.25" x14ac:dyDescent="0.4">
      <c r="D28" s="36">
        <v>1</v>
      </c>
      <c r="E28" s="37">
        <v>2</v>
      </c>
      <c r="F28" s="37">
        <v>3</v>
      </c>
      <c r="G28" s="44">
        <v>4</v>
      </c>
      <c r="H28" s="44">
        <v>5</v>
      </c>
      <c r="I28" s="37">
        <v>6</v>
      </c>
      <c r="J28" s="37">
        <v>7</v>
      </c>
      <c r="K28" s="37">
        <v>8</v>
      </c>
      <c r="L28" s="37">
        <v>9</v>
      </c>
      <c r="M28" s="37">
        <v>10</v>
      </c>
      <c r="N28" s="44">
        <v>11</v>
      </c>
      <c r="O28" s="44">
        <v>12</v>
      </c>
      <c r="P28" s="37">
        <v>13</v>
      </c>
      <c r="Q28" s="37">
        <v>14</v>
      </c>
      <c r="R28" s="37">
        <v>15</v>
      </c>
      <c r="S28" s="37">
        <v>16</v>
      </c>
      <c r="T28" s="37">
        <v>17</v>
      </c>
      <c r="U28" s="44">
        <v>18</v>
      </c>
      <c r="V28" s="44">
        <v>19</v>
      </c>
      <c r="W28" s="37">
        <v>20</v>
      </c>
      <c r="X28" s="37">
        <v>21</v>
      </c>
      <c r="Y28" s="37">
        <v>22</v>
      </c>
      <c r="Z28" s="37">
        <v>23</v>
      </c>
      <c r="AA28" s="37">
        <v>24</v>
      </c>
      <c r="AB28" s="44">
        <v>25</v>
      </c>
      <c r="AC28" s="44">
        <v>26</v>
      </c>
      <c r="AD28" s="37">
        <v>27</v>
      </c>
      <c r="AE28" s="37">
        <v>28</v>
      </c>
      <c r="AF28" s="37">
        <v>29</v>
      </c>
      <c r="AG28" s="2">
        <v>30</v>
      </c>
      <c r="AH28" s="3"/>
      <c r="AK28" s="47"/>
      <c r="AL28" s="23"/>
      <c r="AM28" s="24"/>
      <c r="AO28" s="126"/>
    </row>
    <row r="29" spans="4:41" ht="29.25" customHeight="1" x14ac:dyDescent="0.4">
      <c r="D29" s="230" t="s">
        <v>19</v>
      </c>
      <c r="E29" s="231"/>
      <c r="F29" s="232"/>
      <c r="G29" s="223" t="s">
        <v>5</v>
      </c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157"/>
      <c r="AH29" s="71"/>
      <c r="AK29" s="47"/>
      <c r="AL29" s="23"/>
      <c r="AM29" s="24"/>
      <c r="AO29" s="126"/>
    </row>
    <row r="30" spans="4:41" ht="30" thickBot="1" x14ac:dyDescent="0.45">
      <c r="D30" s="30"/>
      <c r="E30" s="31"/>
      <c r="F30" s="31"/>
      <c r="G30" s="38"/>
      <c r="H30" s="38"/>
      <c r="I30" s="31"/>
      <c r="J30" s="31"/>
      <c r="K30" s="31"/>
      <c r="L30" s="31"/>
      <c r="M30" s="31"/>
      <c r="N30" s="38"/>
      <c r="O30" s="38"/>
      <c r="P30" s="31"/>
      <c r="Q30" s="31"/>
      <c r="R30" s="31"/>
      <c r="S30" s="31"/>
      <c r="T30" s="31"/>
      <c r="U30" s="38"/>
      <c r="V30" s="38"/>
      <c r="W30" s="33"/>
      <c r="X30" s="33"/>
      <c r="Y30" s="33"/>
      <c r="Z30" s="33"/>
      <c r="AA30" s="33"/>
      <c r="AB30" s="39"/>
      <c r="AC30" s="39"/>
      <c r="AD30" s="33"/>
      <c r="AE30" s="33"/>
      <c r="AF30" s="33"/>
      <c r="AG30" s="7"/>
      <c r="AH30" s="8"/>
      <c r="AK30" s="47"/>
      <c r="AL30" s="23"/>
      <c r="AM30" s="24"/>
      <c r="AO30" s="126"/>
    </row>
    <row r="31" spans="4:41" ht="30" thickBot="1" x14ac:dyDescent="0.45">
      <c r="D31" s="32"/>
      <c r="E31" s="33"/>
      <c r="F31" s="33"/>
      <c r="G31" s="39"/>
      <c r="H31" s="39"/>
      <c r="I31" s="33"/>
      <c r="J31" s="33"/>
      <c r="K31" s="33"/>
      <c r="L31" s="33"/>
      <c r="M31" s="33"/>
      <c r="N31" s="39"/>
      <c r="O31" s="39"/>
      <c r="P31" s="33"/>
      <c r="Q31" s="33"/>
      <c r="R31" s="33"/>
      <c r="S31" s="33"/>
      <c r="T31" s="33"/>
      <c r="U31" s="39"/>
      <c r="V31" s="39"/>
      <c r="W31" s="33"/>
      <c r="X31" s="33"/>
      <c r="Y31" s="33"/>
      <c r="Z31" s="33"/>
      <c r="AA31" s="33"/>
      <c r="AB31" s="39"/>
      <c r="AC31" s="39"/>
      <c r="AD31" s="33"/>
      <c r="AE31" s="33"/>
      <c r="AF31" s="33"/>
      <c r="AG31" s="7"/>
      <c r="AH31" s="8"/>
      <c r="AK31" s="47"/>
      <c r="AL31" s="23"/>
      <c r="AM31" s="29">
        <v>4</v>
      </c>
      <c r="AO31" s="126">
        <f>SUM(AO27-AM31)</f>
        <v>19</v>
      </c>
    </row>
    <row r="32" spans="4:41" ht="30" thickBot="1" x14ac:dyDescent="0.45">
      <c r="AK32" s="47"/>
      <c r="AL32" s="23"/>
      <c r="AM32" s="24"/>
      <c r="AO32" s="126"/>
    </row>
    <row r="33" spans="2:41" ht="29.25" x14ac:dyDescent="0.4">
      <c r="D33" s="194">
        <v>46143</v>
      </c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6"/>
      <c r="AJ33" s="114" t="s">
        <v>51</v>
      </c>
      <c r="AK33" s="47">
        <v>68</v>
      </c>
      <c r="AL33" s="23"/>
      <c r="AM33" s="24"/>
      <c r="AO33" s="126"/>
    </row>
    <row r="34" spans="2:41" ht="29.25" x14ac:dyDescent="0.4">
      <c r="D34" s="4">
        <v>1</v>
      </c>
      <c r="E34" s="38">
        <v>2</v>
      </c>
      <c r="F34" s="38">
        <v>3</v>
      </c>
      <c r="G34" s="31">
        <v>4</v>
      </c>
      <c r="H34" s="31">
        <v>5</v>
      </c>
      <c r="I34" s="31">
        <v>6</v>
      </c>
      <c r="J34" s="31">
        <v>7</v>
      </c>
      <c r="K34" s="31">
        <v>8</v>
      </c>
      <c r="L34" s="38">
        <v>9</v>
      </c>
      <c r="M34" s="38">
        <v>10</v>
      </c>
      <c r="N34" s="31">
        <v>11</v>
      </c>
      <c r="O34" s="31">
        <v>12</v>
      </c>
      <c r="P34" s="31">
        <v>13</v>
      </c>
      <c r="Q34" s="31">
        <v>14</v>
      </c>
      <c r="R34" s="31">
        <v>15</v>
      </c>
      <c r="S34" s="38">
        <v>16</v>
      </c>
      <c r="T34" s="38">
        <v>17</v>
      </c>
      <c r="U34" s="31">
        <v>18</v>
      </c>
      <c r="V34" s="31">
        <v>19</v>
      </c>
      <c r="W34" s="31">
        <v>20</v>
      </c>
      <c r="X34" s="31">
        <v>21</v>
      </c>
      <c r="Y34" s="31">
        <v>22</v>
      </c>
      <c r="Z34" s="38">
        <v>23</v>
      </c>
      <c r="AA34" s="38">
        <v>24</v>
      </c>
      <c r="AB34" s="31">
        <v>25</v>
      </c>
      <c r="AC34" s="31">
        <v>26</v>
      </c>
      <c r="AD34" s="31">
        <v>27</v>
      </c>
      <c r="AE34" s="31">
        <v>28</v>
      </c>
      <c r="AF34" s="31">
        <v>29</v>
      </c>
      <c r="AG34" s="38">
        <v>30</v>
      </c>
      <c r="AH34" s="40">
        <v>31</v>
      </c>
      <c r="AK34" s="47"/>
      <c r="AL34" s="23"/>
      <c r="AM34" s="24"/>
      <c r="AO34" s="126"/>
    </row>
    <row r="35" spans="2:41" ht="29.25" x14ac:dyDescent="0.4">
      <c r="D35" s="158" t="s">
        <v>87</v>
      </c>
      <c r="E35" s="223" t="s">
        <v>5</v>
      </c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5"/>
      <c r="AK35" s="47"/>
      <c r="AL35" s="23"/>
      <c r="AM35" s="24"/>
      <c r="AO35" s="126"/>
    </row>
    <row r="36" spans="2:41" ht="30" thickBot="1" x14ac:dyDescent="0.45">
      <c r="D36" s="4"/>
      <c r="E36" s="38"/>
      <c r="F36" s="38"/>
      <c r="G36" s="31"/>
      <c r="H36" s="31"/>
      <c r="I36" s="31"/>
      <c r="J36" s="31"/>
      <c r="K36" s="31"/>
      <c r="L36" s="38"/>
      <c r="M36" s="38"/>
      <c r="N36" s="31"/>
      <c r="O36" s="31"/>
      <c r="P36" s="31"/>
      <c r="Q36" s="31"/>
      <c r="R36" s="31"/>
      <c r="S36" s="38"/>
      <c r="T36" s="38"/>
      <c r="U36" s="31"/>
      <c r="V36" s="31"/>
      <c r="W36" s="31"/>
      <c r="X36" s="31"/>
      <c r="Y36" s="31"/>
      <c r="Z36" s="38"/>
      <c r="AA36" s="38"/>
      <c r="AB36" s="31"/>
      <c r="AC36" s="31"/>
      <c r="AD36" s="31"/>
      <c r="AE36" s="31"/>
      <c r="AF36" s="31"/>
      <c r="AG36" s="38"/>
      <c r="AH36" s="40"/>
      <c r="AK36" s="47"/>
      <c r="AL36" s="23"/>
      <c r="AM36" s="24"/>
      <c r="AO36" s="126"/>
    </row>
    <row r="37" spans="2:41" ht="30" thickBot="1" x14ac:dyDescent="0.45">
      <c r="D37" s="6"/>
      <c r="E37" s="39"/>
      <c r="F37" s="39"/>
      <c r="G37" s="33"/>
      <c r="H37" s="33"/>
      <c r="I37" s="33"/>
      <c r="J37" s="33"/>
      <c r="K37" s="33"/>
      <c r="L37" s="39"/>
      <c r="M37" s="39"/>
      <c r="N37" s="33"/>
      <c r="O37" s="33"/>
      <c r="P37" s="33"/>
      <c r="Q37" s="33"/>
      <c r="R37" s="33"/>
      <c r="S37" s="39"/>
      <c r="T37" s="39"/>
      <c r="U37" s="33"/>
      <c r="V37" s="33"/>
      <c r="W37" s="33"/>
      <c r="X37" s="33"/>
      <c r="Y37" s="33"/>
      <c r="Z37" s="39"/>
      <c r="AA37" s="39"/>
      <c r="AB37" s="33"/>
      <c r="AC37" s="33"/>
      <c r="AD37" s="33"/>
      <c r="AE37" s="33"/>
      <c r="AF37" s="33"/>
      <c r="AG37" s="39"/>
      <c r="AH37" s="41"/>
      <c r="AK37" s="47"/>
      <c r="AL37" s="23"/>
      <c r="AM37" s="29">
        <v>1</v>
      </c>
      <c r="AO37" s="126">
        <f>SUM(AO31-AM37)</f>
        <v>18</v>
      </c>
    </row>
    <row r="38" spans="2:41" ht="30" thickBot="1" x14ac:dyDescent="0.4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K38" s="47"/>
      <c r="AL38" s="23"/>
      <c r="AM38" s="24"/>
      <c r="AO38" s="126"/>
    </row>
    <row r="39" spans="2:41" ht="30" thickBot="1" x14ac:dyDescent="0.45">
      <c r="D39" s="190">
        <v>46174</v>
      </c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2"/>
      <c r="AG39" s="192"/>
      <c r="AH39" s="193"/>
      <c r="AJ39" s="114" t="s">
        <v>52</v>
      </c>
      <c r="AK39" s="47">
        <f>SUM(AK33+2.5-AM37)</f>
        <v>69.5</v>
      </c>
      <c r="AL39" s="23"/>
      <c r="AM39" s="24"/>
      <c r="AO39" s="126"/>
    </row>
    <row r="40" spans="2:41" ht="29.25" x14ac:dyDescent="0.4">
      <c r="D40" s="36">
        <v>1</v>
      </c>
      <c r="E40" s="37">
        <v>2</v>
      </c>
      <c r="F40" s="37">
        <v>3</v>
      </c>
      <c r="G40" s="37">
        <v>4</v>
      </c>
      <c r="H40" s="37">
        <v>5</v>
      </c>
      <c r="I40" s="44">
        <v>6</v>
      </c>
      <c r="J40" s="44">
        <v>7</v>
      </c>
      <c r="K40" s="37">
        <v>8</v>
      </c>
      <c r="L40" s="37">
        <v>9</v>
      </c>
      <c r="M40" s="37">
        <v>10</v>
      </c>
      <c r="N40" s="37">
        <v>11</v>
      </c>
      <c r="O40" s="37">
        <v>12</v>
      </c>
      <c r="P40" s="44">
        <v>13</v>
      </c>
      <c r="Q40" s="44">
        <v>14</v>
      </c>
      <c r="R40" s="37">
        <v>15</v>
      </c>
      <c r="S40" s="37">
        <v>16</v>
      </c>
      <c r="T40" s="37">
        <v>17</v>
      </c>
      <c r="U40" s="37">
        <v>18</v>
      </c>
      <c r="V40" s="37">
        <v>19</v>
      </c>
      <c r="W40" s="44">
        <v>20</v>
      </c>
      <c r="X40" s="44">
        <v>21</v>
      </c>
      <c r="Y40" s="37">
        <v>22</v>
      </c>
      <c r="Z40" s="37">
        <v>23</v>
      </c>
      <c r="AA40" s="37">
        <v>24</v>
      </c>
      <c r="AB40" s="37">
        <v>25</v>
      </c>
      <c r="AC40" s="37">
        <v>26</v>
      </c>
      <c r="AD40" s="44">
        <v>27</v>
      </c>
      <c r="AE40" s="44">
        <v>28</v>
      </c>
      <c r="AF40" s="37">
        <v>29</v>
      </c>
      <c r="AG40" s="2">
        <v>30</v>
      </c>
      <c r="AH40" s="3"/>
      <c r="AK40" s="47"/>
      <c r="AL40" s="23"/>
      <c r="AM40" s="24"/>
      <c r="AO40" s="126"/>
    </row>
    <row r="41" spans="2:41" ht="29.25" x14ac:dyDescent="0.4">
      <c r="D41" s="223" t="s">
        <v>5</v>
      </c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6"/>
      <c r="AH41" s="5"/>
      <c r="AK41" s="47"/>
      <c r="AL41" s="23"/>
      <c r="AM41" s="24"/>
      <c r="AO41" s="126"/>
    </row>
    <row r="42" spans="2:41" ht="30" thickBot="1" x14ac:dyDescent="0.45">
      <c r="D42" s="30"/>
      <c r="E42" s="31"/>
      <c r="F42" s="31"/>
      <c r="G42" s="31"/>
      <c r="H42" s="31"/>
      <c r="I42" s="38"/>
      <c r="J42" s="38"/>
      <c r="K42" s="31"/>
      <c r="L42" s="31"/>
      <c r="M42" s="87" t="str">
        <f>(D140)</f>
        <v>VA Individual Appointments</v>
      </c>
      <c r="N42" s="31"/>
      <c r="O42" s="31"/>
      <c r="P42" s="38"/>
      <c r="Q42" s="38"/>
      <c r="R42" s="31"/>
      <c r="S42" s="31"/>
      <c r="T42" s="31"/>
      <c r="U42" s="31"/>
      <c r="V42" s="31"/>
      <c r="W42" s="38"/>
      <c r="X42" s="38"/>
      <c r="Y42" s="31"/>
      <c r="Z42" s="31"/>
      <c r="AA42" s="31"/>
      <c r="AB42" s="31"/>
      <c r="AC42" s="31"/>
      <c r="AD42" s="38"/>
      <c r="AE42" s="38"/>
      <c r="AF42" s="31"/>
      <c r="AG42" s="1"/>
      <c r="AH42" s="5"/>
      <c r="AK42" s="47"/>
      <c r="AL42" s="23"/>
      <c r="AM42" s="24"/>
      <c r="AO42" s="126"/>
    </row>
    <row r="43" spans="2:41" ht="30" thickBot="1" x14ac:dyDescent="0.45">
      <c r="D43" s="32"/>
      <c r="E43" s="33"/>
      <c r="F43" s="33"/>
      <c r="G43" s="33"/>
      <c r="H43" s="33"/>
      <c r="I43" s="39"/>
      <c r="J43" s="39"/>
      <c r="K43" s="33"/>
      <c r="L43" s="33"/>
      <c r="M43" s="33"/>
      <c r="N43" s="33"/>
      <c r="O43" s="33"/>
      <c r="P43" s="39"/>
      <c r="Q43" s="39"/>
      <c r="R43" s="33"/>
      <c r="S43" s="33"/>
      <c r="T43" s="33"/>
      <c r="U43" s="33"/>
      <c r="V43" s="143" t="s">
        <v>91</v>
      </c>
      <c r="W43" s="127" t="s">
        <v>43</v>
      </c>
      <c r="X43" s="39"/>
      <c r="Y43" s="33"/>
      <c r="Z43" s="33"/>
      <c r="AA43" s="33"/>
      <c r="AB43" s="33"/>
      <c r="AC43" s="33"/>
      <c r="AD43" s="39"/>
      <c r="AE43" s="39"/>
      <c r="AF43" s="33"/>
      <c r="AG43" s="7"/>
      <c r="AH43" s="8"/>
      <c r="AK43" s="47"/>
      <c r="AL43" s="23"/>
      <c r="AM43" s="29">
        <v>0</v>
      </c>
      <c r="AO43" s="126">
        <f>SUM(AO37-AM43)</f>
        <v>18</v>
      </c>
    </row>
    <row r="44" spans="2:41" ht="30" thickBot="1" x14ac:dyDescent="0.45"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6"/>
      <c r="AJ44" s="106"/>
      <c r="AK44" s="107"/>
      <c r="AL44" s="108"/>
      <c r="AM44" s="109"/>
      <c r="AO44" s="126"/>
    </row>
    <row r="45" spans="2:41" ht="29.25" x14ac:dyDescent="0.4">
      <c r="B45" s="244" t="s">
        <v>39</v>
      </c>
      <c r="C45" s="244"/>
      <c r="D45" s="194">
        <v>46204</v>
      </c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6"/>
      <c r="AJ45" s="114" t="s">
        <v>53</v>
      </c>
      <c r="AK45" s="47">
        <f>SUM(AK39+2.5-AM43)</f>
        <v>72</v>
      </c>
      <c r="AL45" s="23"/>
      <c r="AM45" s="24"/>
      <c r="AO45" s="126"/>
    </row>
    <row r="46" spans="2:41" ht="29.25" x14ac:dyDescent="0.4">
      <c r="B46" s="244"/>
      <c r="C46" s="244"/>
      <c r="D46" s="4">
        <v>1</v>
      </c>
      <c r="E46" s="1">
        <v>2</v>
      </c>
      <c r="F46" s="1">
        <v>3</v>
      </c>
      <c r="G46" s="10">
        <v>4</v>
      </c>
      <c r="H46" s="10">
        <v>5</v>
      </c>
      <c r="I46" s="1">
        <v>6</v>
      </c>
      <c r="J46" s="1">
        <v>7</v>
      </c>
      <c r="K46" s="1">
        <v>8</v>
      </c>
      <c r="L46" s="1">
        <v>9</v>
      </c>
      <c r="M46" s="1">
        <v>10</v>
      </c>
      <c r="N46" s="10">
        <v>11</v>
      </c>
      <c r="O46" s="10">
        <v>12</v>
      </c>
      <c r="P46" s="1">
        <v>13</v>
      </c>
      <c r="Q46" s="1">
        <v>14</v>
      </c>
      <c r="R46" s="1">
        <v>15</v>
      </c>
      <c r="S46" s="1">
        <v>16</v>
      </c>
      <c r="T46" s="1">
        <v>17</v>
      </c>
      <c r="U46" s="10">
        <v>18</v>
      </c>
      <c r="V46" s="10">
        <v>19</v>
      </c>
      <c r="W46" s="1">
        <v>20</v>
      </c>
      <c r="X46" s="1">
        <v>21</v>
      </c>
      <c r="Y46" s="1">
        <v>22</v>
      </c>
      <c r="Z46" s="1">
        <v>23</v>
      </c>
      <c r="AA46" s="1">
        <v>24</v>
      </c>
      <c r="AB46" s="10">
        <v>25</v>
      </c>
      <c r="AC46" s="10">
        <v>26</v>
      </c>
      <c r="AD46" s="1">
        <v>27</v>
      </c>
      <c r="AE46" s="1">
        <v>28</v>
      </c>
      <c r="AF46" s="1">
        <v>29</v>
      </c>
      <c r="AG46" s="1">
        <v>30</v>
      </c>
      <c r="AH46" s="5">
        <v>31</v>
      </c>
      <c r="AK46" s="47"/>
      <c r="AL46" s="23"/>
      <c r="AM46" s="24"/>
      <c r="AO46" s="126"/>
    </row>
    <row r="47" spans="2:41" ht="30" thickBot="1" x14ac:dyDescent="0.45">
      <c r="B47" s="244"/>
      <c r="C47" s="244"/>
      <c r="D47" s="200" t="s">
        <v>5</v>
      </c>
      <c r="E47" s="201"/>
      <c r="F47" s="22" t="s">
        <v>3</v>
      </c>
      <c r="G47" s="10"/>
      <c r="H47" s="10"/>
      <c r="I47" s="201" t="s">
        <v>141</v>
      </c>
      <c r="J47" s="201"/>
      <c r="K47" s="201"/>
      <c r="L47" s="201"/>
      <c r="M47" s="201"/>
      <c r="N47" s="10"/>
      <c r="O47" s="10"/>
      <c r="P47" s="66" t="s">
        <v>109</v>
      </c>
      <c r="Q47" s="200" t="s">
        <v>146</v>
      </c>
      <c r="R47" s="201"/>
      <c r="S47" s="201"/>
      <c r="T47" s="201"/>
      <c r="U47" s="227" t="s">
        <v>199</v>
      </c>
      <c r="V47" s="228"/>
      <c r="W47" s="228"/>
      <c r="X47" s="228"/>
      <c r="Y47" s="228"/>
      <c r="Z47" s="228"/>
      <c r="AA47" s="228"/>
      <c r="AB47" s="332"/>
      <c r="AC47" s="10"/>
      <c r="AD47" s="201" t="s">
        <v>140</v>
      </c>
      <c r="AE47" s="201"/>
      <c r="AF47" s="202"/>
      <c r="AG47" s="259" t="str">
        <f>(D138)</f>
        <v>Education  2 Day Seminar</v>
      </c>
      <c r="AH47" s="260"/>
      <c r="AK47" s="47"/>
      <c r="AL47" s="23"/>
      <c r="AM47" s="24"/>
      <c r="AO47" s="126"/>
    </row>
    <row r="48" spans="2:41" ht="30" thickBot="1" x14ac:dyDescent="0.45">
      <c r="B48" s="244"/>
      <c r="C48" s="244"/>
      <c r="D48" s="4"/>
      <c r="E48" s="1"/>
      <c r="F48" s="1"/>
      <c r="G48" s="10"/>
      <c r="H48" s="10"/>
      <c r="I48" s="1"/>
      <c r="J48" s="90" t="str">
        <f>(D133)</f>
        <v>Pre Separation Brief</v>
      </c>
      <c r="K48" s="1"/>
      <c r="L48" s="1"/>
      <c r="M48" s="1"/>
      <c r="N48" s="10"/>
      <c r="O48" s="10"/>
      <c r="P48" s="245" t="str">
        <f>(D134)</f>
        <v>Three-Day Transition Workshop</v>
      </c>
      <c r="Q48" s="246"/>
      <c r="R48" s="247"/>
      <c r="S48" s="248" t="str">
        <f>(D137)</f>
        <v>Employment 2 Day Seminar</v>
      </c>
      <c r="T48" s="249"/>
      <c r="U48" s="10"/>
      <c r="V48" s="10"/>
      <c r="W48" s="7"/>
      <c r="X48" s="7"/>
      <c r="Y48" s="1"/>
      <c r="Z48" s="1"/>
      <c r="AA48" s="1"/>
      <c r="AB48" s="10"/>
      <c r="AC48" s="10"/>
      <c r="AD48" s="1"/>
      <c r="AE48" s="90" t="str">
        <f>(D133)</f>
        <v>Pre Separation Brief</v>
      </c>
      <c r="AF48" s="1"/>
      <c r="AG48" s="7"/>
      <c r="AH48" s="7"/>
      <c r="AK48" s="47"/>
      <c r="AL48" s="23"/>
      <c r="AM48" s="24"/>
      <c r="AO48" s="126"/>
    </row>
    <row r="49" spans="2:94" ht="30" thickBot="1" x14ac:dyDescent="0.45">
      <c r="B49" s="244"/>
      <c r="C49" s="244"/>
      <c r="D49" s="6"/>
      <c r="E49" s="7"/>
      <c r="F49" s="22" t="s">
        <v>3</v>
      </c>
      <c r="G49" s="11"/>
      <c r="H49" s="11"/>
      <c r="I49" s="7"/>
      <c r="J49" s="7"/>
      <c r="K49" s="7"/>
      <c r="L49" s="7"/>
      <c r="M49" s="7"/>
      <c r="N49" s="11"/>
      <c r="O49" s="11"/>
      <c r="P49" s="7"/>
      <c r="Q49" s="7"/>
      <c r="R49" s="87" t="str">
        <f>(D140)</f>
        <v>VA Individual Appointments</v>
      </c>
      <c r="S49" s="76"/>
      <c r="T49" s="77"/>
      <c r="U49" s="11"/>
      <c r="V49" s="11"/>
      <c r="W49" s="7"/>
      <c r="X49" s="7"/>
      <c r="Y49" s="7"/>
      <c r="Z49" s="7"/>
      <c r="AA49" s="7"/>
      <c r="AB49" s="11"/>
      <c r="AC49" s="11"/>
      <c r="AD49" s="161"/>
      <c r="AE49" s="7"/>
      <c r="AF49" s="7"/>
      <c r="AG49" s="7"/>
      <c r="AH49" s="7"/>
      <c r="AK49" s="47"/>
      <c r="AL49" s="23"/>
      <c r="AM49" s="29">
        <v>8</v>
      </c>
      <c r="AO49" s="126">
        <f>SUM(AO43-AM49)</f>
        <v>10</v>
      </c>
    </row>
    <row r="50" spans="2:94" ht="30" thickBot="1" x14ac:dyDescent="0.45">
      <c r="B50" s="244"/>
      <c r="C50" s="244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7"/>
      <c r="AO50" s="126"/>
    </row>
    <row r="51" spans="2:94" ht="29.25" x14ac:dyDescent="0.4">
      <c r="B51" s="244"/>
      <c r="C51" s="244"/>
      <c r="D51" s="194">
        <v>46235</v>
      </c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6"/>
      <c r="AJ51" s="114" t="s">
        <v>54</v>
      </c>
      <c r="AK51" s="47">
        <f>SUM(AK45+2.5-AM49)</f>
        <v>66.5</v>
      </c>
      <c r="AL51" s="23"/>
      <c r="AM51" s="24"/>
      <c r="AO51" s="126"/>
    </row>
    <row r="52" spans="2:94" ht="30" thickBot="1" x14ac:dyDescent="0.45">
      <c r="B52" s="244"/>
      <c r="C52" s="244"/>
      <c r="D52" s="12">
        <v>1</v>
      </c>
      <c r="E52" s="10">
        <v>2</v>
      </c>
      <c r="F52" s="1">
        <v>3</v>
      </c>
      <c r="G52" s="1">
        <v>4</v>
      </c>
      <c r="H52" s="1">
        <v>5</v>
      </c>
      <c r="I52" s="1">
        <v>6</v>
      </c>
      <c r="J52" s="1">
        <v>7</v>
      </c>
      <c r="K52" s="10">
        <v>8</v>
      </c>
      <c r="L52" s="10">
        <v>9</v>
      </c>
      <c r="M52" s="1">
        <v>10</v>
      </c>
      <c r="N52" s="1">
        <v>11</v>
      </c>
      <c r="O52" s="1">
        <v>12</v>
      </c>
      <c r="P52" s="1">
        <v>13</v>
      </c>
      <c r="Q52" s="1">
        <v>14</v>
      </c>
      <c r="R52" s="10">
        <v>15</v>
      </c>
      <c r="S52" s="10">
        <v>16</v>
      </c>
      <c r="T52" s="1">
        <v>17</v>
      </c>
      <c r="U52" s="1">
        <v>18</v>
      </c>
      <c r="V52" s="1">
        <v>19</v>
      </c>
      <c r="W52" s="1">
        <v>20</v>
      </c>
      <c r="X52" s="1">
        <v>21</v>
      </c>
      <c r="Y52" s="10">
        <v>22</v>
      </c>
      <c r="Z52" s="10">
        <v>23</v>
      </c>
      <c r="AA52" s="1">
        <v>24</v>
      </c>
      <c r="AB52" s="1">
        <v>25</v>
      </c>
      <c r="AC52" s="1">
        <v>26</v>
      </c>
      <c r="AD52" s="1">
        <v>27</v>
      </c>
      <c r="AE52" s="1">
        <v>28</v>
      </c>
      <c r="AF52" s="10">
        <v>29</v>
      </c>
      <c r="AG52" s="10">
        <v>30</v>
      </c>
      <c r="AH52" s="5">
        <v>31</v>
      </c>
      <c r="AI52" s="56"/>
      <c r="AJ52" s="56"/>
      <c r="AK52" s="47"/>
      <c r="AL52" s="23"/>
      <c r="AM52" s="24"/>
      <c r="AO52" s="126"/>
    </row>
    <row r="53" spans="2:94" ht="30" thickBot="1" x14ac:dyDescent="0.45">
      <c r="B53" s="244"/>
      <c r="C53" s="244"/>
      <c r="D53" s="12"/>
      <c r="E53" s="10"/>
      <c r="F53" s="174" t="s">
        <v>134</v>
      </c>
      <c r="G53" s="90" t="str">
        <f>(D133)</f>
        <v>Pre Separation Brief</v>
      </c>
      <c r="H53" s="261" t="s">
        <v>140</v>
      </c>
      <c r="I53" s="201"/>
      <c r="J53" s="202"/>
      <c r="K53" s="10"/>
      <c r="L53" s="10"/>
      <c r="M53" s="201" t="s">
        <v>140</v>
      </c>
      <c r="N53" s="201"/>
      <c r="O53" s="201"/>
      <c r="P53" s="253" t="str">
        <f>(D138)</f>
        <v>Education  2 Day Seminar</v>
      </c>
      <c r="Q53" s="254"/>
      <c r="R53" s="10"/>
      <c r="S53" s="10"/>
      <c r="T53" s="255" t="str">
        <f>(D134)</f>
        <v>Three-Day Transition Workshop</v>
      </c>
      <c r="U53" s="256"/>
      <c r="V53" s="256"/>
      <c r="W53" s="257" t="str">
        <f>(D137)</f>
        <v>Employment 2 Day Seminar</v>
      </c>
      <c r="X53" s="258"/>
      <c r="Y53" s="10"/>
      <c r="Z53" s="10"/>
      <c r="AA53" s="201" t="s">
        <v>141</v>
      </c>
      <c r="AB53" s="201"/>
      <c r="AC53" s="201"/>
      <c r="AD53" s="201"/>
      <c r="AE53" s="201"/>
      <c r="AF53" s="10"/>
      <c r="AG53" s="10"/>
      <c r="AH53" s="171" t="s">
        <v>142</v>
      </c>
      <c r="AI53" s="114">
        <v>13</v>
      </c>
      <c r="AK53" s="47"/>
      <c r="AL53" s="23"/>
      <c r="AM53" s="24"/>
      <c r="AO53" s="126"/>
    </row>
    <row r="54" spans="2:94" ht="30" thickBot="1" x14ac:dyDescent="0.45">
      <c r="B54" s="244"/>
      <c r="C54" s="244"/>
      <c r="D54" s="12"/>
      <c r="E54" s="10"/>
      <c r="F54" s="1"/>
      <c r="G54" s="170" t="s">
        <v>144</v>
      </c>
      <c r="H54" s="1"/>
      <c r="I54" s="1"/>
      <c r="J54" s="1"/>
      <c r="K54" s="10"/>
      <c r="L54" s="10"/>
      <c r="M54" s="1"/>
      <c r="N54" s="90" t="str">
        <f>(D133)</f>
        <v>Pre Separation Brief</v>
      </c>
      <c r="O54" s="1"/>
      <c r="P54" s="1"/>
      <c r="Q54" s="1"/>
      <c r="R54" s="10"/>
      <c r="S54" s="75"/>
      <c r="T54" s="1"/>
      <c r="U54" s="1"/>
      <c r="V54" s="1"/>
      <c r="W54" s="1"/>
      <c r="X54" s="1"/>
      <c r="Y54" s="74"/>
      <c r="Z54" s="10"/>
      <c r="AA54" s="1"/>
      <c r="AB54" s="1"/>
      <c r="AC54" s="1"/>
      <c r="AD54" s="1"/>
      <c r="AE54" s="1"/>
      <c r="AF54" s="10"/>
      <c r="AG54" s="10"/>
      <c r="AH54" s="5"/>
      <c r="AK54" s="47"/>
      <c r="AL54" s="23"/>
      <c r="AM54" s="24"/>
      <c r="AO54" s="126"/>
    </row>
    <row r="55" spans="2:94" ht="30" thickBot="1" x14ac:dyDescent="0.45">
      <c r="B55" s="244"/>
      <c r="C55" s="244"/>
      <c r="D55" s="13"/>
      <c r="E55" s="11"/>
      <c r="F55" s="7"/>
      <c r="G55" s="7"/>
      <c r="H55" s="7"/>
      <c r="I55" s="7"/>
      <c r="J55" s="7"/>
      <c r="K55" s="11"/>
      <c r="L55" s="301" t="s">
        <v>106</v>
      </c>
      <c r="M55" s="302"/>
      <c r="N55" s="302"/>
      <c r="O55" s="302"/>
      <c r="P55" s="302"/>
      <c r="Q55" s="302"/>
      <c r="R55" s="303"/>
      <c r="S55" s="11"/>
      <c r="T55" s="73"/>
      <c r="U55" s="73"/>
      <c r="V55" s="73"/>
      <c r="W55" s="73"/>
      <c r="X55" s="73"/>
      <c r="Y55" s="11"/>
      <c r="Z55" s="11"/>
      <c r="AA55" s="7"/>
      <c r="AB55" s="7"/>
      <c r="AC55" s="7"/>
      <c r="AD55" s="7"/>
      <c r="AE55" s="7"/>
      <c r="AF55" s="11"/>
      <c r="AG55" s="11"/>
      <c r="AH55" s="8"/>
      <c r="AK55" s="47"/>
      <c r="AL55" s="23"/>
      <c r="AM55" s="29">
        <v>1</v>
      </c>
      <c r="AO55" s="126">
        <f>SUM(AO49-AM55)</f>
        <v>9</v>
      </c>
    </row>
    <row r="56" spans="2:94" ht="30" thickBot="1" x14ac:dyDescent="0.45">
      <c r="B56" s="244"/>
      <c r="C56" s="244"/>
      <c r="AK56" s="47"/>
      <c r="AL56" s="23"/>
      <c r="AM56" s="24"/>
      <c r="AO56" s="126"/>
    </row>
    <row r="57" spans="2:94" ht="29.25" x14ac:dyDescent="0.4">
      <c r="B57" s="244"/>
      <c r="C57" s="244"/>
      <c r="D57" s="194">
        <v>46266</v>
      </c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6"/>
      <c r="AJ57" s="114" t="s">
        <v>55</v>
      </c>
      <c r="AK57" s="47">
        <f>SUM(AK51+2.5-AM55)</f>
        <v>68</v>
      </c>
      <c r="AL57" s="23"/>
      <c r="AM57" s="24"/>
      <c r="AO57" s="126"/>
    </row>
    <row r="58" spans="2:94" ht="29.25" x14ac:dyDescent="0.4">
      <c r="B58" s="244"/>
      <c r="C58" s="244"/>
      <c r="D58" s="4">
        <v>1</v>
      </c>
      <c r="E58" s="1">
        <v>2</v>
      </c>
      <c r="F58" s="1">
        <v>3</v>
      </c>
      <c r="G58" s="1">
        <v>4</v>
      </c>
      <c r="H58" s="10">
        <v>5</v>
      </c>
      <c r="I58" s="10">
        <v>6</v>
      </c>
      <c r="J58" s="1">
        <v>7</v>
      </c>
      <c r="K58" s="1">
        <v>8</v>
      </c>
      <c r="L58" s="1">
        <v>9</v>
      </c>
      <c r="M58" s="1">
        <v>10</v>
      </c>
      <c r="N58" s="1">
        <v>11</v>
      </c>
      <c r="O58" s="10">
        <v>12</v>
      </c>
      <c r="P58" s="10">
        <v>13</v>
      </c>
      <c r="Q58" s="1">
        <v>14</v>
      </c>
      <c r="R58" s="1">
        <v>15</v>
      </c>
      <c r="S58" s="1">
        <v>16</v>
      </c>
      <c r="T58" s="1">
        <v>17</v>
      </c>
      <c r="U58" s="1">
        <v>18</v>
      </c>
      <c r="V58" s="10">
        <v>19</v>
      </c>
      <c r="W58" s="10">
        <v>20</v>
      </c>
      <c r="X58" s="1">
        <v>21</v>
      </c>
      <c r="Y58" s="1">
        <v>22</v>
      </c>
      <c r="Z58" s="1">
        <v>23</v>
      </c>
      <c r="AA58" s="1">
        <v>24</v>
      </c>
      <c r="AB58" s="1">
        <v>25</v>
      </c>
      <c r="AC58" s="10">
        <v>26</v>
      </c>
      <c r="AD58" s="10">
        <v>27</v>
      </c>
      <c r="AE58" s="1">
        <v>28</v>
      </c>
      <c r="AF58" s="1">
        <v>29</v>
      </c>
      <c r="AG58" s="1">
        <v>30</v>
      </c>
      <c r="AH58" s="5"/>
      <c r="AK58" s="47"/>
      <c r="AL58" s="23"/>
      <c r="AM58" s="24"/>
      <c r="AO58" s="126"/>
    </row>
    <row r="59" spans="2:94" ht="29.25" x14ac:dyDescent="0.4">
      <c r="B59" s="244"/>
      <c r="C59" s="244"/>
      <c r="D59" s="330" t="s">
        <v>143</v>
      </c>
      <c r="E59" s="330"/>
      <c r="F59" s="330"/>
      <c r="G59" s="331"/>
      <c r="H59" s="333" t="s">
        <v>200</v>
      </c>
      <c r="I59" s="334"/>
      <c r="J59" s="334"/>
      <c r="K59" s="334"/>
      <c r="L59" s="334"/>
      <c r="M59" s="334"/>
      <c r="N59" s="334"/>
      <c r="O59" s="334"/>
      <c r="P59" s="334"/>
      <c r="Q59" s="334"/>
      <c r="R59" s="334"/>
      <c r="S59" s="334"/>
      <c r="T59" s="334"/>
      <c r="U59" s="334"/>
      <c r="V59" s="334"/>
      <c r="W59" s="334"/>
      <c r="X59" s="334"/>
      <c r="Y59" s="334"/>
      <c r="Z59" s="334"/>
      <c r="AA59" s="334"/>
      <c r="AB59" s="334"/>
      <c r="AC59" s="334"/>
      <c r="AD59" s="334"/>
      <c r="AE59" s="334"/>
      <c r="AF59" s="334"/>
      <c r="AG59" s="335"/>
      <c r="AH59" s="5"/>
      <c r="AI59" s="114">
        <v>9</v>
      </c>
      <c r="AK59" s="47"/>
      <c r="AL59" s="23"/>
      <c r="AM59" s="24"/>
      <c r="AO59" s="126"/>
    </row>
    <row r="60" spans="2:94" ht="30" thickBot="1" x14ac:dyDescent="0.45">
      <c r="B60" s="244"/>
      <c r="C60" s="244"/>
      <c r="D60" s="78"/>
      <c r="E60" s="78"/>
      <c r="F60" s="78"/>
      <c r="G60" s="78"/>
      <c r="H60" s="80"/>
      <c r="I60" s="80"/>
      <c r="J60" s="78"/>
      <c r="K60" s="95" t="str">
        <f>(D132)</f>
        <v>Initial Individual Counseling</v>
      </c>
      <c r="L60" s="96"/>
      <c r="M60" s="99"/>
      <c r="N60" s="99"/>
      <c r="O60" s="97"/>
      <c r="P60" s="85"/>
      <c r="Q60" s="288" t="str">
        <f>(D134)</f>
        <v>Three-Day Transition Workshop</v>
      </c>
      <c r="R60" s="289"/>
      <c r="S60" s="290"/>
      <c r="T60" s="304" t="str">
        <f>(D136)</f>
        <v>Career &amp; Credential Exploration 2 Day Seminar</v>
      </c>
      <c r="U60" s="305"/>
      <c r="V60" s="85"/>
      <c r="W60" s="85"/>
      <c r="X60" s="84"/>
      <c r="Y60" s="84"/>
      <c r="Z60" s="84"/>
      <c r="AA60" s="84"/>
      <c r="AB60" s="84"/>
      <c r="AC60" s="85"/>
      <c r="AD60" s="85"/>
      <c r="AE60" s="84"/>
      <c r="AF60" s="95" t="str">
        <f>(D132)</f>
        <v>Initial Individual Counseling</v>
      </c>
      <c r="AG60" s="84"/>
      <c r="AH60" s="147"/>
      <c r="AK60" s="47"/>
      <c r="AL60" s="23"/>
      <c r="AM60" s="27"/>
      <c r="AO60" s="126"/>
    </row>
    <row r="61" spans="2:94" ht="30" thickBot="1" x14ac:dyDescent="0.45">
      <c r="B61" s="244"/>
      <c r="C61" s="244"/>
      <c r="D61" s="72"/>
      <c r="E61" s="73"/>
      <c r="F61" s="73"/>
      <c r="G61" s="73"/>
      <c r="H61" s="79"/>
      <c r="I61" s="79"/>
      <c r="J61" s="142" t="s">
        <v>83</v>
      </c>
      <c r="K61" s="81"/>
      <c r="L61" s="81"/>
      <c r="M61" s="98"/>
      <c r="N61" s="98"/>
      <c r="O61" s="82"/>
      <c r="P61" s="82"/>
      <c r="Q61" s="81"/>
      <c r="R61" s="81"/>
      <c r="S61" s="88" t="str">
        <f>(D140)</f>
        <v>VA Individual Appointments</v>
      </c>
      <c r="T61" s="81"/>
      <c r="U61" s="81"/>
      <c r="V61" s="82"/>
      <c r="W61" s="82"/>
      <c r="X61" s="81"/>
      <c r="Y61" s="81"/>
      <c r="Z61" s="81"/>
      <c r="AA61" s="81"/>
      <c r="AB61" s="81"/>
      <c r="AC61" s="82"/>
      <c r="AD61" s="82"/>
      <c r="AE61" s="81"/>
      <c r="AF61" s="81"/>
      <c r="AG61" s="81"/>
      <c r="AH61" s="83"/>
      <c r="AK61" s="47"/>
      <c r="AL61" s="26"/>
      <c r="AM61" s="29">
        <v>26</v>
      </c>
      <c r="AO61" s="126">
        <f>SUM(AO55-AM61)</f>
        <v>-17</v>
      </c>
    </row>
    <row r="62" spans="2:94" ht="15.75" thickBot="1" x14ac:dyDescent="0.25">
      <c r="B62" s="244"/>
      <c r="C62" s="244"/>
      <c r="AK62" s="47"/>
      <c r="AL62" s="23"/>
      <c r="AM62" s="28"/>
    </row>
    <row r="63" spans="2:94" x14ac:dyDescent="0.2">
      <c r="B63" s="244"/>
      <c r="C63" s="244"/>
      <c r="D63" s="194">
        <v>46296</v>
      </c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6"/>
      <c r="AJ63" s="114" t="s">
        <v>56</v>
      </c>
      <c r="AK63" s="47">
        <f>SUM(AK57+2.5-AM61)</f>
        <v>44.5</v>
      </c>
      <c r="AL63" s="23"/>
      <c r="AM63" s="24"/>
    </row>
    <row r="64" spans="2:94" x14ac:dyDescent="0.2">
      <c r="B64" s="244"/>
      <c r="C64" s="244"/>
      <c r="D64" s="4">
        <v>1</v>
      </c>
      <c r="E64" s="1">
        <v>2</v>
      </c>
      <c r="F64" s="10">
        <v>3</v>
      </c>
      <c r="G64" s="10">
        <v>4</v>
      </c>
      <c r="H64" s="1">
        <v>5</v>
      </c>
      <c r="I64" s="1">
        <v>6</v>
      </c>
      <c r="J64" s="1">
        <v>7</v>
      </c>
      <c r="K64" s="1">
        <v>8</v>
      </c>
      <c r="L64" s="1">
        <v>9</v>
      </c>
      <c r="M64" s="10">
        <v>10</v>
      </c>
      <c r="N64" s="10">
        <v>11</v>
      </c>
      <c r="O64" s="1">
        <v>12</v>
      </c>
      <c r="P64" s="1">
        <v>13</v>
      </c>
      <c r="Q64" s="1">
        <v>14</v>
      </c>
      <c r="R64" s="1">
        <v>15</v>
      </c>
      <c r="S64" s="1">
        <v>16</v>
      </c>
      <c r="T64" s="10">
        <v>17</v>
      </c>
      <c r="U64" s="10">
        <v>18</v>
      </c>
      <c r="V64" s="1">
        <v>19</v>
      </c>
      <c r="W64" s="1">
        <v>20</v>
      </c>
      <c r="X64" s="1">
        <v>21</v>
      </c>
      <c r="Y64" s="1">
        <v>22</v>
      </c>
      <c r="Z64" s="1">
        <v>23</v>
      </c>
      <c r="AA64" s="10">
        <v>24</v>
      </c>
      <c r="AB64" s="10">
        <v>25</v>
      </c>
      <c r="AC64" s="1">
        <v>26</v>
      </c>
      <c r="AD64" s="1">
        <v>27</v>
      </c>
      <c r="AE64" s="1">
        <v>28</v>
      </c>
      <c r="AF64" s="1">
        <v>29</v>
      </c>
      <c r="AG64" s="1">
        <v>30</v>
      </c>
      <c r="AH64" s="14">
        <v>31</v>
      </c>
      <c r="AI64" s="56"/>
      <c r="AJ64" s="56"/>
      <c r="AK64" s="47"/>
      <c r="AL64" s="23"/>
      <c r="AM64" s="24"/>
      <c r="BL64" s="262" t="s">
        <v>0</v>
      </c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</row>
    <row r="65" spans="1:94" ht="21.75" thickBot="1" x14ac:dyDescent="0.35">
      <c r="B65" s="244"/>
      <c r="C65" s="244"/>
      <c r="D65" s="307" t="s">
        <v>162</v>
      </c>
      <c r="E65" s="307"/>
      <c r="F65" s="10"/>
      <c r="G65" s="10"/>
      <c r="H65" s="261" t="s">
        <v>141</v>
      </c>
      <c r="I65" s="201"/>
      <c r="J65" s="201"/>
      <c r="K65" s="201"/>
      <c r="L65" s="201"/>
      <c r="M65" s="10"/>
      <c r="N65" s="10"/>
      <c r="O65" s="143" t="s">
        <v>84</v>
      </c>
      <c r="P65" s="261" t="s">
        <v>143</v>
      </c>
      <c r="Q65" s="201"/>
      <c r="R65" s="201"/>
      <c r="S65" s="201"/>
      <c r="T65" s="10"/>
      <c r="U65" s="10"/>
      <c r="V65" s="264" t="s">
        <v>141</v>
      </c>
      <c r="W65" s="265"/>
      <c r="X65" s="265"/>
      <c r="Y65" s="265"/>
      <c r="Z65" s="265"/>
      <c r="AA65" s="10"/>
      <c r="AB65" s="10"/>
      <c r="AC65" s="261" t="s">
        <v>141</v>
      </c>
      <c r="AD65" s="201"/>
      <c r="AE65" s="201"/>
      <c r="AF65" s="201"/>
      <c r="AG65" s="201"/>
      <c r="AH65" s="14"/>
      <c r="AI65" s="56">
        <v>19</v>
      </c>
      <c r="AJ65" s="56"/>
      <c r="AK65" s="47"/>
      <c r="AL65" s="23"/>
      <c r="AM65" s="24"/>
      <c r="BL65">
        <v>1</v>
      </c>
      <c r="BM65">
        <v>2</v>
      </c>
      <c r="BN65">
        <v>3</v>
      </c>
      <c r="BO65">
        <v>4</v>
      </c>
      <c r="BP65">
        <v>5</v>
      </c>
      <c r="BQ65">
        <v>6</v>
      </c>
      <c r="BR65">
        <v>7</v>
      </c>
      <c r="BS65">
        <v>8</v>
      </c>
      <c r="BT65">
        <v>9</v>
      </c>
      <c r="BU65">
        <v>10</v>
      </c>
      <c r="BV65">
        <v>11</v>
      </c>
      <c r="BW65">
        <v>12</v>
      </c>
      <c r="BX65">
        <v>13</v>
      </c>
      <c r="BY65">
        <v>14</v>
      </c>
      <c r="BZ65">
        <v>15</v>
      </c>
      <c r="CA65">
        <v>16</v>
      </c>
      <c r="CB65">
        <v>17</v>
      </c>
      <c r="CC65">
        <v>18</v>
      </c>
      <c r="CD65">
        <v>19</v>
      </c>
      <c r="CE65">
        <v>20</v>
      </c>
      <c r="CF65">
        <v>21</v>
      </c>
      <c r="CG65">
        <v>22</v>
      </c>
      <c r="CH65">
        <v>23</v>
      </c>
      <c r="CI65">
        <v>24</v>
      </c>
      <c r="CJ65">
        <v>25</v>
      </c>
      <c r="CK65">
        <v>26</v>
      </c>
      <c r="CL65">
        <v>27</v>
      </c>
      <c r="CM65">
        <v>28</v>
      </c>
      <c r="CN65">
        <v>29</v>
      </c>
      <c r="CO65">
        <v>30</v>
      </c>
      <c r="CP65">
        <v>31</v>
      </c>
    </row>
    <row r="66" spans="1:94" ht="15.75" thickBot="1" x14ac:dyDescent="0.25">
      <c r="B66" s="244"/>
      <c r="C66" s="244"/>
      <c r="D66" s="4"/>
      <c r="E66" s="1"/>
      <c r="F66" s="10"/>
      <c r="G66" s="10"/>
      <c r="H66" s="250" t="str">
        <f>(D135)</f>
        <v>Entrepreneurship 2-Day Seminar</v>
      </c>
      <c r="I66" s="251"/>
      <c r="J66" s="1"/>
      <c r="K66" s="1"/>
      <c r="L66" s="1"/>
      <c r="M66" s="10"/>
      <c r="N66" s="10"/>
      <c r="O66" s="1"/>
      <c r="P66" s="1"/>
      <c r="Q66" s="1"/>
      <c r="R66" s="1"/>
      <c r="S66" s="1"/>
      <c r="T66" s="10"/>
      <c r="U66" s="10"/>
      <c r="V66" s="288" t="str">
        <f>(D134)</f>
        <v>Three-Day Transition Workshop</v>
      </c>
      <c r="W66" s="289"/>
      <c r="X66" s="290"/>
      <c r="Y66" s="257" t="str">
        <f>(D137)</f>
        <v>Employment 2 Day Seminar</v>
      </c>
      <c r="Z66" s="258"/>
      <c r="AA66" s="10"/>
      <c r="AB66" s="10"/>
      <c r="AC66" s="1"/>
      <c r="AD66" s="93" t="str">
        <f>(D133)</f>
        <v>Pre Separation Brief</v>
      </c>
      <c r="AE66" s="1"/>
      <c r="AF66" s="94" t="str">
        <f>(D138)</f>
        <v>Education  2 Day Seminar</v>
      </c>
      <c r="AG66" s="1"/>
      <c r="AH66" s="14"/>
      <c r="AK66" s="47"/>
      <c r="AL66" s="23"/>
      <c r="AM66" s="27"/>
    </row>
    <row r="67" spans="1:94" ht="15.75" thickBot="1" x14ac:dyDescent="0.25">
      <c r="B67" s="244"/>
      <c r="C67" s="244"/>
      <c r="D67" s="4"/>
      <c r="E67" s="1"/>
      <c r="F67" s="10"/>
      <c r="G67" s="10"/>
      <c r="H67" s="1"/>
      <c r="I67" s="1"/>
      <c r="J67" s="1"/>
      <c r="K67" s="1"/>
      <c r="L67" s="70" t="s">
        <v>29</v>
      </c>
      <c r="M67" s="10"/>
      <c r="N67" s="10"/>
      <c r="O67" s="143" t="s">
        <v>84</v>
      </c>
      <c r="P67" s="1"/>
      <c r="Q67" s="1"/>
      <c r="R67" s="1"/>
      <c r="S67" s="1"/>
      <c r="T67" s="10"/>
      <c r="U67" s="10"/>
      <c r="V67" s="1"/>
      <c r="W67" s="1"/>
      <c r="X67" s="88" t="str">
        <f>(D140)</f>
        <v>VA Individual Appointments</v>
      </c>
      <c r="Y67" s="1"/>
      <c r="Z67" s="1" t="s">
        <v>110</v>
      </c>
      <c r="AA67" s="10"/>
      <c r="AB67" s="10"/>
      <c r="AC67" s="1"/>
      <c r="AD67" s="1"/>
      <c r="AE67" s="1"/>
      <c r="AF67" s="1"/>
      <c r="AG67" s="1"/>
      <c r="AH67" s="15"/>
      <c r="AK67" s="47"/>
      <c r="AL67" s="26"/>
      <c r="AM67" s="29">
        <v>2</v>
      </c>
    </row>
    <row r="68" spans="1:94" ht="15.75" thickBot="1" x14ac:dyDescent="0.25">
      <c r="B68" s="244"/>
      <c r="C68" s="24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K68" s="47"/>
      <c r="AL68" s="23"/>
      <c r="AM68" s="28"/>
    </row>
    <row r="69" spans="1:94" ht="15.75" thickBot="1" x14ac:dyDescent="0.25">
      <c r="B69" s="244"/>
      <c r="C69" s="244"/>
      <c r="D69" s="190">
        <v>46327</v>
      </c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2"/>
      <c r="AG69" s="192"/>
      <c r="AH69" s="193"/>
      <c r="AJ69" s="114" t="s">
        <v>57</v>
      </c>
      <c r="AK69" s="47">
        <f>SUM(AK63+2.5-AM67)</f>
        <v>45</v>
      </c>
      <c r="AL69" s="23"/>
      <c r="AM69" s="24"/>
    </row>
    <row r="70" spans="1:94" x14ac:dyDescent="0.2">
      <c r="B70" s="244"/>
      <c r="C70" s="244"/>
      <c r="D70" s="120">
        <v>1</v>
      </c>
      <c r="E70" s="57">
        <v>2</v>
      </c>
      <c r="F70" s="57">
        <v>3</v>
      </c>
      <c r="G70" s="57">
        <v>4</v>
      </c>
      <c r="H70" s="57">
        <v>5</v>
      </c>
      <c r="I70" s="57">
        <v>6</v>
      </c>
      <c r="J70" s="58">
        <v>7</v>
      </c>
      <c r="K70" s="58">
        <v>8</v>
      </c>
      <c r="L70" s="57">
        <v>9</v>
      </c>
      <c r="M70" s="57">
        <v>10</v>
      </c>
      <c r="N70" s="57">
        <v>11</v>
      </c>
      <c r="O70" s="57">
        <v>12</v>
      </c>
      <c r="P70" s="57">
        <v>13</v>
      </c>
      <c r="Q70" s="58">
        <v>14</v>
      </c>
      <c r="R70" s="58">
        <v>15</v>
      </c>
      <c r="S70" s="57">
        <v>16</v>
      </c>
      <c r="T70" s="57">
        <v>17</v>
      </c>
      <c r="U70" s="57">
        <v>18</v>
      </c>
      <c r="V70" s="57">
        <v>19</v>
      </c>
      <c r="W70" s="57">
        <v>20</v>
      </c>
      <c r="X70" s="58">
        <v>21</v>
      </c>
      <c r="Y70" s="58">
        <v>22</v>
      </c>
      <c r="Z70" s="57">
        <v>23</v>
      </c>
      <c r="AA70" s="57">
        <v>24</v>
      </c>
      <c r="AB70" s="68">
        <v>25</v>
      </c>
      <c r="AC70" s="68">
        <v>26</v>
      </c>
      <c r="AD70" s="68">
        <v>27</v>
      </c>
      <c r="AE70" s="69">
        <v>28</v>
      </c>
      <c r="AF70" s="69">
        <v>29</v>
      </c>
      <c r="AG70" s="64">
        <v>30</v>
      </c>
      <c r="AH70" s="3"/>
      <c r="AI70" s="56"/>
      <c r="AJ70" s="56"/>
      <c r="AK70" s="47"/>
      <c r="AL70" s="23"/>
      <c r="AM70" s="24"/>
    </row>
    <row r="71" spans="1:94" ht="21.75" thickBot="1" x14ac:dyDescent="0.35">
      <c r="A71" s="67"/>
      <c r="B71" s="244"/>
      <c r="C71" s="244"/>
      <c r="D71" s="121"/>
      <c r="E71" s="261" t="s">
        <v>141</v>
      </c>
      <c r="F71" s="201"/>
      <c r="G71" s="201"/>
      <c r="H71" s="201"/>
      <c r="I71" s="201"/>
      <c r="J71" s="60"/>
      <c r="K71" s="60"/>
      <c r="L71" s="169" t="s">
        <v>144</v>
      </c>
      <c r="M71" s="143" t="s">
        <v>111</v>
      </c>
      <c r="N71" s="143" t="s">
        <v>85</v>
      </c>
      <c r="O71" s="329" t="s">
        <v>139</v>
      </c>
      <c r="P71" s="210"/>
      <c r="Q71" s="60"/>
      <c r="R71" s="60"/>
      <c r="S71" s="210" t="s">
        <v>141</v>
      </c>
      <c r="T71" s="210"/>
      <c r="U71" s="210"/>
      <c r="V71" s="210"/>
      <c r="W71" s="216"/>
      <c r="X71" s="60"/>
      <c r="Y71" s="60"/>
      <c r="Z71" s="329" t="s">
        <v>140</v>
      </c>
      <c r="AA71" s="210"/>
      <c r="AB71" s="216"/>
      <c r="AC71" s="143" t="s">
        <v>2</v>
      </c>
      <c r="AD71" s="143"/>
      <c r="AE71" s="60"/>
      <c r="AF71" s="60"/>
      <c r="AG71" s="169" t="s">
        <v>144</v>
      </c>
      <c r="AH71" s="5"/>
      <c r="AI71" s="114">
        <v>17</v>
      </c>
      <c r="AK71" s="47"/>
      <c r="AL71" s="23"/>
      <c r="AM71" s="24"/>
    </row>
    <row r="72" spans="1:94" ht="15.75" thickBot="1" x14ac:dyDescent="0.25">
      <c r="B72" s="244"/>
      <c r="C72" s="244"/>
      <c r="D72" s="121"/>
      <c r="E72" s="59"/>
      <c r="F72" s="59"/>
      <c r="G72" s="59"/>
      <c r="H72" s="59"/>
      <c r="I72" s="59"/>
      <c r="J72" s="60"/>
      <c r="K72" s="60"/>
      <c r="L72" s="59"/>
      <c r="M72" s="59"/>
      <c r="N72" s="59"/>
      <c r="O72" s="298" t="str">
        <f>(D136)</f>
        <v>Career &amp; Credential Exploration 2 Day Seminar</v>
      </c>
      <c r="P72" s="299"/>
      <c r="Q72" s="60"/>
      <c r="R72" s="60"/>
      <c r="S72" s="295" t="str">
        <f>(D134)</f>
        <v>Three-Day Transition Workshop</v>
      </c>
      <c r="T72" s="296"/>
      <c r="U72" s="297"/>
      <c r="V72" s="280" t="str">
        <f>(D137)</f>
        <v>Employment 2 Day Seminar</v>
      </c>
      <c r="W72" s="281"/>
      <c r="X72" s="60"/>
      <c r="Y72" s="60"/>
      <c r="Z72" s="282" t="s">
        <v>80</v>
      </c>
      <c r="AA72" s="283"/>
      <c r="AB72" s="283"/>
      <c r="AC72" s="283"/>
      <c r="AD72" s="300"/>
      <c r="AE72" s="60"/>
      <c r="AF72" s="60"/>
      <c r="AG72" s="1"/>
      <c r="AH72" s="5"/>
      <c r="AK72" s="47"/>
      <c r="AL72" s="23"/>
      <c r="AM72" s="27"/>
    </row>
    <row r="73" spans="1:94" ht="15.75" thickBot="1" x14ac:dyDescent="0.25">
      <c r="B73" s="244"/>
      <c r="C73" s="244"/>
      <c r="D73" s="13"/>
      <c r="E73" s="7"/>
      <c r="F73" s="92" t="str">
        <f>(D133)</f>
        <v>Pre Separation Brief</v>
      </c>
      <c r="G73" s="7"/>
      <c r="H73" s="7"/>
      <c r="I73" s="7"/>
      <c r="J73" s="11"/>
      <c r="K73" s="11"/>
      <c r="L73" s="7"/>
      <c r="M73" s="143" t="s">
        <v>111</v>
      </c>
      <c r="N73" s="143" t="s">
        <v>85</v>
      </c>
      <c r="O73" s="7"/>
      <c r="P73" s="7"/>
      <c r="Q73" s="11"/>
      <c r="R73" s="11"/>
      <c r="S73" s="7"/>
      <c r="T73" s="7"/>
      <c r="U73" s="89" t="str">
        <f>(D140)</f>
        <v>VA Individual Appointments</v>
      </c>
      <c r="V73" s="7"/>
      <c r="W73" s="7"/>
      <c r="X73" s="11"/>
      <c r="Y73" s="11"/>
      <c r="Z73" s="7"/>
      <c r="AA73" s="139" t="str">
        <f>(D133)</f>
        <v>Pre Separation Brief</v>
      </c>
      <c r="AB73" s="7"/>
      <c r="AC73" s="143" t="s">
        <v>2</v>
      </c>
      <c r="AD73" s="143"/>
      <c r="AE73" s="11"/>
      <c r="AF73" s="11"/>
      <c r="AG73" s="7"/>
      <c r="AH73" s="8"/>
      <c r="AK73" s="47"/>
      <c r="AL73" s="26"/>
      <c r="AM73" s="29">
        <v>0</v>
      </c>
    </row>
    <row r="74" spans="1:94" ht="15.75" thickBot="1" x14ac:dyDescent="0.25">
      <c r="B74" s="244"/>
      <c r="C74" s="24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K74" s="47"/>
      <c r="AL74" s="23"/>
      <c r="AM74" s="28"/>
    </row>
    <row r="75" spans="1:94" x14ac:dyDescent="0.2">
      <c r="B75" s="244"/>
      <c r="C75" s="244"/>
      <c r="D75" s="217">
        <v>46357</v>
      </c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9"/>
      <c r="AG75" s="219"/>
      <c r="AH75" s="220"/>
      <c r="AJ75" s="114" t="s">
        <v>58</v>
      </c>
      <c r="AK75" s="47">
        <f>SUM(AK69+2.5-AM73)</f>
        <v>47.5</v>
      </c>
      <c r="AL75" s="23"/>
      <c r="AM75" s="24"/>
    </row>
    <row r="76" spans="1:94" x14ac:dyDescent="0.2">
      <c r="B76" s="244"/>
      <c r="C76" s="244"/>
      <c r="D76" s="4">
        <v>1</v>
      </c>
      <c r="E76" s="1">
        <v>2</v>
      </c>
      <c r="F76" s="1">
        <v>3</v>
      </c>
      <c r="G76" s="1">
        <v>4</v>
      </c>
      <c r="H76" s="10">
        <v>5</v>
      </c>
      <c r="I76" s="10">
        <v>6</v>
      </c>
      <c r="J76" s="1">
        <v>7</v>
      </c>
      <c r="K76" s="1">
        <v>8</v>
      </c>
      <c r="L76" s="1">
        <v>9</v>
      </c>
      <c r="M76" s="1">
        <v>10</v>
      </c>
      <c r="N76" s="1">
        <v>11</v>
      </c>
      <c r="O76" s="10">
        <v>12</v>
      </c>
      <c r="P76" s="10">
        <v>13</v>
      </c>
      <c r="Q76" s="1">
        <v>14</v>
      </c>
      <c r="R76" s="1">
        <v>15</v>
      </c>
      <c r="S76" s="1">
        <v>16</v>
      </c>
      <c r="T76" s="1">
        <v>17</v>
      </c>
      <c r="U76" s="1">
        <v>18</v>
      </c>
      <c r="V76" s="10">
        <v>19</v>
      </c>
      <c r="W76" s="10">
        <v>20</v>
      </c>
      <c r="X76" s="1">
        <v>21</v>
      </c>
      <c r="Y76" s="1">
        <v>22</v>
      </c>
      <c r="Z76" s="1">
        <v>23</v>
      </c>
      <c r="AA76" s="1">
        <v>24</v>
      </c>
      <c r="AB76" s="1">
        <v>25</v>
      </c>
      <c r="AC76" s="10">
        <v>26</v>
      </c>
      <c r="AD76" s="10">
        <v>27</v>
      </c>
      <c r="AE76" s="1">
        <v>28</v>
      </c>
      <c r="AF76" s="1">
        <v>29</v>
      </c>
      <c r="AG76" s="1">
        <v>30</v>
      </c>
      <c r="AH76" s="1">
        <v>31</v>
      </c>
      <c r="AK76" s="47"/>
      <c r="AL76" s="23"/>
      <c r="AM76" s="24"/>
    </row>
    <row r="77" spans="1:94" ht="21.75" thickBot="1" x14ac:dyDescent="0.35">
      <c r="B77" s="244"/>
      <c r="C77" s="244"/>
      <c r="D77" s="261" t="s">
        <v>35</v>
      </c>
      <c r="E77" s="201"/>
      <c r="F77" s="201"/>
      <c r="G77" s="201"/>
      <c r="H77" s="10"/>
      <c r="I77" s="10"/>
      <c r="J77" s="201" t="s">
        <v>164</v>
      </c>
      <c r="K77" s="201"/>
      <c r="L77" s="201"/>
      <c r="M77" s="201"/>
      <c r="N77" s="202"/>
      <c r="O77" s="10"/>
      <c r="P77" s="10"/>
      <c r="Q77" s="201" t="s">
        <v>164</v>
      </c>
      <c r="R77" s="201"/>
      <c r="S77" s="201"/>
      <c r="T77" s="201"/>
      <c r="U77" s="202"/>
      <c r="V77" s="10"/>
      <c r="W77" s="10"/>
      <c r="X77" s="261" t="s">
        <v>140</v>
      </c>
      <c r="Y77" s="201"/>
      <c r="Z77" s="202"/>
      <c r="AA77" s="143" t="s">
        <v>3</v>
      </c>
      <c r="AB77" s="143" t="s">
        <v>3</v>
      </c>
      <c r="AC77" s="10"/>
      <c r="AD77" s="10"/>
      <c r="AE77" s="261" t="s">
        <v>140</v>
      </c>
      <c r="AF77" s="201"/>
      <c r="AG77" s="202"/>
      <c r="AH77" s="22" t="s">
        <v>3</v>
      </c>
      <c r="AI77" s="114">
        <v>7</v>
      </c>
      <c r="AK77" s="47"/>
      <c r="AL77" s="23"/>
      <c r="AM77" s="24"/>
    </row>
    <row r="78" spans="1:94" ht="15.75" thickBot="1" x14ac:dyDescent="0.25">
      <c r="B78" s="244"/>
      <c r="C78" s="244"/>
      <c r="D78" s="91" t="str">
        <f>(D133)</f>
        <v>Pre Separation Brief</v>
      </c>
      <c r="E78" s="1"/>
      <c r="F78" s="1"/>
      <c r="G78" s="1"/>
      <c r="H78" s="10"/>
      <c r="I78" s="10"/>
      <c r="J78" s="288" t="str">
        <f>(D134)</f>
        <v>Three-Day Transition Workshop</v>
      </c>
      <c r="K78" s="289"/>
      <c r="L78" s="290"/>
      <c r="M78" s="257" t="str">
        <f>(D137)</f>
        <v>Employment 2 Day Seminar</v>
      </c>
      <c r="N78" s="258"/>
      <c r="O78" s="10"/>
      <c r="P78" s="10"/>
      <c r="Q78" s="1"/>
      <c r="R78" s="90" t="str">
        <f>(D133)</f>
        <v>Pre Separation Brief</v>
      </c>
      <c r="S78" s="1"/>
      <c r="T78" s="1"/>
      <c r="U78" s="1"/>
      <c r="V78" s="11"/>
      <c r="W78" s="11"/>
      <c r="X78" s="282" t="s">
        <v>80</v>
      </c>
      <c r="Y78" s="283"/>
      <c r="Z78" s="283"/>
      <c r="AA78" s="283"/>
      <c r="AB78" s="283"/>
      <c r="AC78" s="283"/>
      <c r="AD78" s="283"/>
      <c r="AE78" s="323"/>
      <c r="AF78" s="323"/>
      <c r="AG78" s="323"/>
      <c r="AH78" s="324"/>
      <c r="AK78" s="47"/>
      <c r="AL78" s="23"/>
      <c r="AM78" s="27"/>
    </row>
    <row r="79" spans="1:94" ht="15.75" thickBot="1" x14ac:dyDescent="0.25">
      <c r="B79" s="244"/>
      <c r="C79" s="244"/>
      <c r="D79" s="6"/>
      <c r="E79" s="122" t="s">
        <v>18</v>
      </c>
      <c r="F79" s="7"/>
      <c r="G79" s="7"/>
      <c r="H79" s="11"/>
      <c r="I79" s="11"/>
      <c r="J79" s="7"/>
      <c r="K79" s="7"/>
      <c r="L79" s="89" t="str">
        <f>(D140)</f>
        <v>VA Individual Appointments</v>
      </c>
      <c r="M79" s="7"/>
      <c r="N79" s="7"/>
      <c r="O79" s="11"/>
      <c r="P79" s="11"/>
      <c r="Q79" s="7"/>
      <c r="R79" s="7"/>
      <c r="S79" s="7"/>
      <c r="T79" s="7"/>
      <c r="U79" s="7"/>
      <c r="V79" s="11"/>
      <c r="W79" s="11"/>
      <c r="X79" s="7"/>
      <c r="Y79" s="7"/>
      <c r="Z79" s="7"/>
      <c r="AA79" s="143" t="s">
        <v>3</v>
      </c>
      <c r="AB79" s="143" t="s">
        <v>3</v>
      </c>
      <c r="AC79" s="11"/>
      <c r="AD79" s="11"/>
      <c r="AE79" s="7"/>
      <c r="AF79" s="7"/>
      <c r="AG79" s="7"/>
      <c r="AH79" s="22" t="s">
        <v>3</v>
      </c>
      <c r="AK79" s="47"/>
      <c r="AL79" s="26"/>
      <c r="AM79" s="29">
        <v>0</v>
      </c>
    </row>
    <row r="80" spans="1:94" ht="15.75" thickBot="1" x14ac:dyDescent="0.25">
      <c r="B80" s="244"/>
      <c r="C80" s="24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K80" s="47"/>
      <c r="AL80" s="23"/>
      <c r="AM80" s="28"/>
    </row>
    <row r="81" spans="2:39" x14ac:dyDescent="0.2">
      <c r="B81" s="244"/>
      <c r="C81" s="244"/>
      <c r="D81" s="194">
        <v>46388</v>
      </c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6"/>
      <c r="AJ81" s="114" t="s">
        <v>59</v>
      </c>
      <c r="AK81" s="47">
        <f>SUM(AK75+2.5-AM79)</f>
        <v>50</v>
      </c>
      <c r="AL81" s="23"/>
      <c r="AM81" s="24"/>
    </row>
    <row r="82" spans="2:39" x14ac:dyDescent="0.2">
      <c r="B82" s="244"/>
      <c r="C82" s="244"/>
      <c r="D82" s="4">
        <v>1</v>
      </c>
      <c r="E82" s="10">
        <v>2</v>
      </c>
      <c r="F82" s="10">
        <v>3</v>
      </c>
      <c r="G82" s="1">
        <v>4</v>
      </c>
      <c r="H82" s="1">
        <v>5</v>
      </c>
      <c r="I82" s="1">
        <v>6</v>
      </c>
      <c r="J82" s="1">
        <v>7</v>
      </c>
      <c r="K82" s="1">
        <v>8</v>
      </c>
      <c r="L82" s="10">
        <v>9</v>
      </c>
      <c r="M82" s="10">
        <v>10</v>
      </c>
      <c r="N82" s="1">
        <v>11</v>
      </c>
      <c r="O82" s="1">
        <v>12</v>
      </c>
      <c r="P82" s="1">
        <v>13</v>
      </c>
      <c r="Q82" s="1">
        <v>14</v>
      </c>
      <c r="R82" s="1">
        <v>15</v>
      </c>
      <c r="S82" s="10">
        <v>16</v>
      </c>
      <c r="T82" s="10">
        <v>17</v>
      </c>
      <c r="U82" s="1">
        <v>18</v>
      </c>
      <c r="V82" s="1">
        <v>19</v>
      </c>
      <c r="W82" s="1">
        <v>20</v>
      </c>
      <c r="X82" s="1">
        <v>21</v>
      </c>
      <c r="Y82" s="1">
        <v>22</v>
      </c>
      <c r="Z82" s="10">
        <v>23</v>
      </c>
      <c r="AA82" s="10">
        <v>24</v>
      </c>
      <c r="AB82" s="1">
        <v>25</v>
      </c>
      <c r="AC82" s="1">
        <v>26</v>
      </c>
      <c r="AD82" s="1">
        <v>27</v>
      </c>
      <c r="AE82" s="1">
        <v>28</v>
      </c>
      <c r="AF82" s="1">
        <v>29</v>
      </c>
      <c r="AG82" s="10">
        <v>30</v>
      </c>
      <c r="AH82" s="40">
        <v>31</v>
      </c>
      <c r="AK82" s="47"/>
      <c r="AL82" s="23"/>
      <c r="AM82" s="24"/>
    </row>
    <row r="83" spans="2:39" ht="21" x14ac:dyDescent="0.3">
      <c r="B83" s="244"/>
      <c r="C83" s="244"/>
      <c r="D83" s="21" t="s">
        <v>2</v>
      </c>
      <c r="E83" s="10"/>
      <c r="F83" s="10"/>
      <c r="G83" s="264" t="s">
        <v>141</v>
      </c>
      <c r="H83" s="265"/>
      <c r="I83" s="265"/>
      <c r="J83" s="265"/>
      <c r="K83" s="266"/>
      <c r="L83" s="10"/>
      <c r="M83" s="10"/>
      <c r="N83" s="264" t="s">
        <v>141</v>
      </c>
      <c r="O83" s="265"/>
      <c r="P83" s="265"/>
      <c r="Q83" s="265"/>
      <c r="R83" s="266"/>
      <c r="S83" s="10"/>
      <c r="T83" s="10"/>
      <c r="U83" s="141" t="s">
        <v>81</v>
      </c>
      <c r="V83" s="261" t="s">
        <v>143</v>
      </c>
      <c r="W83" s="201"/>
      <c r="X83" s="201"/>
      <c r="Y83" s="202"/>
      <c r="Z83" s="10"/>
      <c r="AA83" s="10"/>
      <c r="AB83" s="201" t="s">
        <v>163</v>
      </c>
      <c r="AC83" s="201"/>
      <c r="AD83" s="201"/>
      <c r="AE83" s="201"/>
      <c r="AF83" s="201"/>
      <c r="AG83" s="129" t="s">
        <v>72</v>
      </c>
      <c r="AH83" s="130"/>
      <c r="AI83" s="114">
        <v>19</v>
      </c>
      <c r="AK83" s="47"/>
      <c r="AL83" s="23"/>
      <c r="AM83" s="24"/>
    </row>
    <row r="84" spans="2:39" ht="15.75" thickBot="1" x14ac:dyDescent="0.25">
      <c r="B84" s="244"/>
      <c r="C84" s="244"/>
      <c r="D84" s="100"/>
      <c r="E84" s="10"/>
      <c r="F84" s="10"/>
      <c r="G84" s="1"/>
      <c r="H84" s="1"/>
      <c r="I84" s="1"/>
      <c r="J84" s="1"/>
      <c r="K84" s="1"/>
      <c r="L84" s="10"/>
      <c r="M84" s="10"/>
      <c r="N84" s="1"/>
      <c r="O84" s="1"/>
      <c r="P84" s="1"/>
      <c r="Q84" s="1"/>
      <c r="R84" s="1"/>
      <c r="S84" s="10"/>
      <c r="T84" s="10"/>
      <c r="U84" s="1"/>
      <c r="V84" s="1"/>
      <c r="W84" s="1"/>
      <c r="X84" s="1"/>
      <c r="Y84" s="1"/>
      <c r="Z84" s="10"/>
      <c r="AA84" s="10"/>
      <c r="AB84" s="1"/>
      <c r="AC84" s="1"/>
      <c r="AD84" s="1"/>
      <c r="AE84" s="1"/>
      <c r="AF84" s="1"/>
      <c r="AG84" s="10"/>
      <c r="AH84" s="40"/>
      <c r="AK84" s="47"/>
      <c r="AL84" s="23"/>
      <c r="AM84" s="27"/>
    </row>
    <row r="85" spans="2:39" ht="25.5" thickBot="1" x14ac:dyDescent="0.4">
      <c r="B85" s="244"/>
      <c r="C85" s="244"/>
      <c r="D85" s="21" t="s">
        <v>2</v>
      </c>
      <c r="E85" s="10"/>
      <c r="F85" s="10"/>
      <c r="G85" s="1"/>
      <c r="H85" s="1"/>
      <c r="I85" s="1"/>
      <c r="J85" s="1"/>
      <c r="K85" s="1"/>
      <c r="L85" s="10"/>
      <c r="M85" s="10"/>
      <c r="N85" s="1"/>
      <c r="O85" s="1"/>
      <c r="P85" s="1"/>
      <c r="Q85" s="1"/>
      <c r="R85" s="1"/>
      <c r="S85" s="10"/>
      <c r="T85" s="10"/>
      <c r="U85" s="141" t="s">
        <v>81</v>
      </c>
      <c r="V85" s="1"/>
      <c r="W85" s="1"/>
      <c r="X85" s="1"/>
      <c r="Y85" s="1"/>
      <c r="Z85" s="10"/>
      <c r="AA85" s="10"/>
      <c r="AB85" s="1"/>
      <c r="AC85" s="1"/>
      <c r="AD85" s="1"/>
      <c r="AE85" s="1"/>
      <c r="AF85" s="1"/>
      <c r="AG85" s="10"/>
      <c r="AH85" s="40"/>
      <c r="AI85" s="140"/>
      <c r="AK85" s="47"/>
      <c r="AL85" s="26"/>
      <c r="AM85" s="29">
        <v>0</v>
      </c>
    </row>
    <row r="86" spans="2:39" ht="15.75" thickBot="1" x14ac:dyDescent="0.25">
      <c r="B86" s="244"/>
      <c r="C86" s="244"/>
      <c r="AK86" s="47"/>
      <c r="AL86" s="23"/>
      <c r="AM86" s="28"/>
    </row>
    <row r="87" spans="2:39" x14ac:dyDescent="0.2">
      <c r="B87" s="244"/>
      <c r="C87" s="244"/>
      <c r="D87" s="194">
        <v>46419</v>
      </c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6"/>
      <c r="AI87" s="114" t="s">
        <v>86</v>
      </c>
      <c r="AJ87" s="114" t="s">
        <v>60</v>
      </c>
      <c r="AK87" s="47">
        <f>SUM(AK81+2.5-AM85)</f>
        <v>52.5</v>
      </c>
      <c r="AL87" s="23"/>
      <c r="AM87" s="24"/>
    </row>
    <row r="88" spans="2:39" ht="24.75" x14ac:dyDescent="0.35">
      <c r="B88" s="244"/>
      <c r="C88" s="244"/>
      <c r="D88" s="4">
        <v>1</v>
      </c>
      <c r="E88" s="1">
        <v>2</v>
      </c>
      <c r="F88" s="1">
        <v>3</v>
      </c>
      <c r="G88" s="1">
        <v>4</v>
      </c>
      <c r="H88" s="1">
        <v>5</v>
      </c>
      <c r="I88" s="38">
        <v>6</v>
      </c>
      <c r="J88" s="38">
        <v>7</v>
      </c>
      <c r="K88" s="1">
        <v>8</v>
      </c>
      <c r="L88" s="1">
        <v>9</v>
      </c>
      <c r="M88" s="1">
        <v>10</v>
      </c>
      <c r="N88" s="1">
        <v>11</v>
      </c>
      <c r="O88" s="1">
        <v>12</v>
      </c>
      <c r="P88" s="38">
        <v>13</v>
      </c>
      <c r="Q88" s="38">
        <v>14</v>
      </c>
      <c r="R88" s="1">
        <v>15</v>
      </c>
      <c r="S88" s="1">
        <v>16</v>
      </c>
      <c r="T88" s="1">
        <v>17</v>
      </c>
      <c r="U88" s="1">
        <v>18</v>
      </c>
      <c r="V88" s="1">
        <v>19</v>
      </c>
      <c r="W88" s="38">
        <v>20</v>
      </c>
      <c r="X88" s="38">
        <v>21</v>
      </c>
      <c r="Y88" s="1">
        <v>22</v>
      </c>
      <c r="Z88" s="1">
        <v>23</v>
      </c>
      <c r="AA88" s="62">
        <v>24</v>
      </c>
      <c r="AB88" s="62">
        <v>25</v>
      </c>
      <c r="AC88" s="62">
        <v>26</v>
      </c>
      <c r="AD88" s="103">
        <v>27</v>
      </c>
      <c r="AE88" s="103">
        <v>28</v>
      </c>
      <c r="AF88" s="1"/>
      <c r="AG88" s="1"/>
      <c r="AH88" s="5"/>
      <c r="AI88" s="140">
        <f>SUM(AI56:AI87)</f>
        <v>71</v>
      </c>
      <c r="AK88" s="47"/>
      <c r="AL88" s="23"/>
      <c r="AM88" s="24"/>
    </row>
    <row r="89" spans="2:39" ht="21" x14ac:dyDescent="0.3">
      <c r="B89" s="244"/>
      <c r="C89" s="244"/>
      <c r="D89" s="327" t="s">
        <v>71</v>
      </c>
      <c r="E89" s="327"/>
      <c r="F89" s="327"/>
      <c r="G89" s="327"/>
      <c r="H89" s="327"/>
      <c r="I89" s="327"/>
      <c r="J89" s="327"/>
      <c r="K89" s="327"/>
      <c r="L89" s="327"/>
      <c r="M89" s="327"/>
      <c r="N89" s="327"/>
      <c r="O89" s="327"/>
      <c r="P89" s="327"/>
      <c r="Q89" s="327"/>
      <c r="R89" s="327"/>
      <c r="S89" s="327"/>
      <c r="T89" s="327"/>
      <c r="U89" s="327"/>
      <c r="V89" s="327"/>
      <c r="W89" s="327"/>
      <c r="X89" s="327"/>
      <c r="Y89" s="327"/>
      <c r="Z89" s="327"/>
      <c r="AA89" s="327"/>
      <c r="AB89" s="327"/>
      <c r="AC89" s="327"/>
      <c r="AD89" s="327"/>
      <c r="AE89" s="328"/>
      <c r="AF89" s="102"/>
      <c r="AG89" s="1"/>
      <c r="AH89" s="5"/>
      <c r="AI89" s="125"/>
      <c r="AK89" s="47"/>
      <c r="AL89" s="23"/>
      <c r="AM89" s="24"/>
    </row>
    <row r="90" spans="2:39" ht="15.75" thickBot="1" x14ac:dyDescent="0.25">
      <c r="B90" s="244"/>
      <c r="C90" s="244"/>
      <c r="D90" s="4"/>
      <c r="E90" s="1"/>
      <c r="F90" s="1"/>
      <c r="G90" s="1"/>
      <c r="H90" s="1"/>
      <c r="I90" s="38"/>
      <c r="J90" s="38"/>
      <c r="K90" s="1"/>
      <c r="L90" s="1"/>
      <c r="M90" s="1"/>
      <c r="N90" s="1"/>
      <c r="O90" s="1"/>
      <c r="P90" s="38"/>
      <c r="Q90" s="38"/>
      <c r="R90" s="1"/>
      <c r="S90" s="1"/>
      <c r="T90" s="1"/>
      <c r="U90" s="1"/>
      <c r="V90" s="1"/>
      <c r="W90" s="38"/>
      <c r="X90" s="38"/>
      <c r="Y90" s="1"/>
      <c r="Z90" s="1"/>
      <c r="AA90" s="59"/>
      <c r="AB90" s="59"/>
      <c r="AC90" s="59"/>
      <c r="AD90" s="104"/>
      <c r="AE90" s="104"/>
      <c r="AF90" s="1"/>
      <c r="AG90" s="1"/>
      <c r="AH90" s="5"/>
      <c r="AI90" s="125"/>
      <c r="AK90" s="47"/>
      <c r="AL90" s="23"/>
      <c r="AM90" s="27"/>
    </row>
    <row r="91" spans="2:39" ht="15.75" thickBot="1" x14ac:dyDescent="0.25">
      <c r="B91" s="244"/>
      <c r="C91" s="244"/>
      <c r="D91" s="4"/>
      <c r="E91" s="1"/>
      <c r="F91" s="1"/>
      <c r="G91" s="1"/>
      <c r="H91" s="1"/>
      <c r="I91" s="38"/>
      <c r="J91" s="38"/>
      <c r="K91" s="22" t="s">
        <v>9</v>
      </c>
      <c r="L91" s="1"/>
      <c r="M91" s="1"/>
      <c r="N91" s="1"/>
      <c r="O91" s="1"/>
      <c r="P91" s="38"/>
      <c r="Q91" s="38"/>
      <c r="R91" s="141" t="s">
        <v>82</v>
      </c>
      <c r="S91" s="1"/>
      <c r="T91" s="1"/>
      <c r="U91" s="1"/>
      <c r="V91" s="1"/>
      <c r="W91" s="38"/>
      <c r="X91" s="38"/>
      <c r="Y91" s="1"/>
      <c r="Z91" s="1"/>
      <c r="AA91" s="1"/>
      <c r="AB91" s="1"/>
      <c r="AC91" s="1"/>
      <c r="AD91" s="38"/>
      <c r="AE91" s="38"/>
      <c r="AF91" s="1"/>
      <c r="AG91" s="1"/>
      <c r="AH91" s="5"/>
      <c r="AI91" s="125"/>
      <c r="AK91" s="47"/>
      <c r="AL91" s="26"/>
      <c r="AM91" s="29">
        <v>0</v>
      </c>
    </row>
    <row r="92" spans="2:39" ht="15.75" thickBot="1" x14ac:dyDescent="0.25">
      <c r="B92" s="244"/>
      <c r="C92" s="24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125"/>
      <c r="AK92" s="47"/>
      <c r="AL92" s="23"/>
      <c r="AM92" s="28"/>
    </row>
    <row r="93" spans="2:39" x14ac:dyDescent="0.2">
      <c r="B93" s="244"/>
      <c r="C93" s="244"/>
      <c r="D93" s="194">
        <v>46447</v>
      </c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6"/>
      <c r="AI93" s="125" t="s">
        <v>87</v>
      </c>
      <c r="AJ93" s="114" t="s">
        <v>61</v>
      </c>
      <c r="AK93" s="47">
        <f>SUM(AK87+2.5-AM91)</f>
        <v>55</v>
      </c>
      <c r="AL93" s="23"/>
      <c r="AM93" s="24"/>
    </row>
    <row r="94" spans="2:39" ht="31.5" x14ac:dyDescent="0.45">
      <c r="B94" s="244"/>
      <c r="C94" s="244"/>
      <c r="D94" s="4">
        <v>1</v>
      </c>
      <c r="E94" s="1">
        <v>2</v>
      </c>
      <c r="F94" s="1">
        <v>3</v>
      </c>
      <c r="G94" s="1">
        <v>4</v>
      </c>
      <c r="H94" s="1">
        <v>5</v>
      </c>
      <c r="I94" s="10">
        <v>6</v>
      </c>
      <c r="J94" s="10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0">
        <v>13</v>
      </c>
      <c r="Q94" s="10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0">
        <v>20</v>
      </c>
      <c r="X94" s="10">
        <v>21</v>
      </c>
      <c r="Y94" s="1">
        <v>22</v>
      </c>
      <c r="Z94" s="1">
        <v>23</v>
      </c>
      <c r="AA94" s="1">
        <v>24</v>
      </c>
      <c r="AB94" s="1">
        <v>25</v>
      </c>
      <c r="AC94" s="1">
        <v>26</v>
      </c>
      <c r="AD94" s="10">
        <v>27</v>
      </c>
      <c r="AE94" s="10">
        <v>28</v>
      </c>
      <c r="AF94" s="1">
        <v>29</v>
      </c>
      <c r="AG94" s="1">
        <v>30</v>
      </c>
      <c r="AH94" s="5">
        <v>31</v>
      </c>
      <c r="AI94" s="160">
        <f>(AK117)</f>
        <v>0.5</v>
      </c>
      <c r="AK94" s="47"/>
      <c r="AL94" s="23"/>
      <c r="AM94" s="24"/>
    </row>
    <row r="95" spans="2:39" ht="21.75" thickBot="1" x14ac:dyDescent="0.35">
      <c r="B95" s="244"/>
      <c r="C95" s="244"/>
      <c r="D95" s="321" t="s">
        <v>68</v>
      </c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  <c r="AA95" s="325"/>
      <c r="AB95" s="325"/>
      <c r="AC95" s="325"/>
      <c r="AD95" s="325"/>
      <c r="AE95" s="325"/>
      <c r="AF95" s="325"/>
      <c r="AG95" s="325"/>
      <c r="AH95" s="326"/>
      <c r="AI95" s="125"/>
      <c r="AK95" s="47"/>
      <c r="AL95" s="23"/>
      <c r="AM95" s="24"/>
    </row>
    <row r="96" spans="2:39" ht="15.75" thickBot="1" x14ac:dyDescent="0.25">
      <c r="B96" s="244"/>
      <c r="C96" s="244"/>
      <c r="D96" s="4"/>
      <c r="E96" s="1"/>
      <c r="F96" s="1"/>
      <c r="G96" s="1"/>
      <c r="H96" s="1"/>
      <c r="I96" s="10"/>
      <c r="J96" s="10"/>
      <c r="K96" s="1"/>
      <c r="L96" s="1"/>
      <c r="M96" s="1"/>
      <c r="N96" s="1"/>
      <c r="O96" s="1"/>
      <c r="P96" s="10"/>
      <c r="Q96" s="10"/>
      <c r="R96" s="1"/>
      <c r="S96" s="1"/>
      <c r="T96" s="1"/>
      <c r="U96" s="1"/>
      <c r="V96" s="1"/>
      <c r="W96" s="10"/>
      <c r="X96" s="10"/>
      <c r="Y96" s="1"/>
      <c r="Z96" s="1"/>
      <c r="AA96" s="1"/>
      <c r="AB96" s="1"/>
      <c r="AC96" s="1"/>
      <c r="AD96" s="10"/>
      <c r="AE96" s="10"/>
      <c r="AF96" s="1"/>
      <c r="AG96" s="1"/>
      <c r="AH96" s="5"/>
      <c r="AI96" s="125"/>
      <c r="AK96" s="47"/>
      <c r="AL96" s="23"/>
      <c r="AM96" s="27"/>
    </row>
    <row r="97" spans="2:39" ht="15.75" thickBot="1" x14ac:dyDescent="0.25">
      <c r="B97" s="244"/>
      <c r="C97" s="244"/>
      <c r="D97" s="4"/>
      <c r="E97" s="1"/>
      <c r="F97" s="1"/>
      <c r="G97" s="1"/>
      <c r="H97" s="1"/>
      <c r="I97" s="10"/>
      <c r="J97" s="10"/>
      <c r="K97" s="1"/>
      <c r="L97" s="1"/>
      <c r="M97" s="1"/>
      <c r="N97" s="1"/>
      <c r="O97" s="1"/>
      <c r="P97" s="10"/>
      <c r="Q97" s="10"/>
      <c r="R97" s="1"/>
      <c r="S97" s="1"/>
      <c r="T97" s="1"/>
      <c r="U97" s="1"/>
      <c r="V97" s="1"/>
      <c r="W97" s="10"/>
      <c r="X97" s="10"/>
      <c r="Y97" s="1"/>
      <c r="Z97" s="1"/>
      <c r="AA97" s="1"/>
      <c r="AB97" s="1"/>
      <c r="AC97" s="1"/>
      <c r="AD97" s="10"/>
      <c r="AE97" s="10"/>
      <c r="AF97" s="1"/>
      <c r="AG97" s="1"/>
      <c r="AH97" s="5"/>
      <c r="AI97" s="125"/>
      <c r="AK97" s="47"/>
      <c r="AL97" s="26"/>
      <c r="AM97" s="29">
        <v>0</v>
      </c>
    </row>
    <row r="98" spans="2:39" ht="15.75" thickBot="1" x14ac:dyDescent="0.25">
      <c r="B98" s="244"/>
      <c r="C98" s="244"/>
      <c r="AI98" s="125"/>
      <c r="AK98" s="47"/>
      <c r="AL98" s="23"/>
      <c r="AM98" s="28"/>
    </row>
    <row r="99" spans="2:39" x14ac:dyDescent="0.2">
      <c r="B99" s="244"/>
      <c r="C99" s="244"/>
      <c r="D99" s="194">
        <v>46478</v>
      </c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6"/>
      <c r="AI99" s="125"/>
      <c r="AJ99" s="114" t="s">
        <v>62</v>
      </c>
      <c r="AK99" s="47">
        <f>SUM(AK93+2.5-AM97)</f>
        <v>57.5</v>
      </c>
      <c r="AL99" s="23"/>
      <c r="AM99" s="24"/>
    </row>
    <row r="100" spans="2:39" x14ac:dyDescent="0.2">
      <c r="B100" s="244"/>
      <c r="C100" s="244"/>
      <c r="D100" s="4">
        <v>1</v>
      </c>
      <c r="E100" s="1">
        <v>2</v>
      </c>
      <c r="F100" s="10">
        <v>3</v>
      </c>
      <c r="G100" s="10">
        <v>4</v>
      </c>
      <c r="H100" s="1">
        <v>5</v>
      </c>
      <c r="I100" s="1">
        <v>6</v>
      </c>
      <c r="J100" s="1">
        <v>7</v>
      </c>
      <c r="K100" s="1">
        <v>8</v>
      </c>
      <c r="L100" s="1">
        <v>9</v>
      </c>
      <c r="M100" s="10">
        <v>10</v>
      </c>
      <c r="N100" s="10">
        <v>11</v>
      </c>
      <c r="O100" s="1">
        <v>12</v>
      </c>
      <c r="P100" s="1">
        <v>13</v>
      </c>
      <c r="Q100" s="1">
        <v>14</v>
      </c>
      <c r="R100" s="1">
        <v>15</v>
      </c>
      <c r="S100" s="1">
        <v>16</v>
      </c>
      <c r="T100" s="10">
        <v>17</v>
      </c>
      <c r="U100" s="10">
        <v>18</v>
      </c>
      <c r="V100" s="1">
        <v>19</v>
      </c>
      <c r="W100" s="1">
        <v>20</v>
      </c>
      <c r="X100" s="1">
        <v>21</v>
      </c>
      <c r="Y100" s="1">
        <v>22</v>
      </c>
      <c r="Z100" s="1">
        <v>23</v>
      </c>
      <c r="AA100" s="10">
        <v>24</v>
      </c>
      <c r="AB100" s="10">
        <v>25</v>
      </c>
      <c r="AC100" s="1">
        <v>26</v>
      </c>
      <c r="AD100" s="1">
        <v>27</v>
      </c>
      <c r="AE100" s="1">
        <v>28</v>
      </c>
      <c r="AF100" s="1">
        <v>29</v>
      </c>
      <c r="AG100" s="1">
        <v>30</v>
      </c>
      <c r="AH100" s="5"/>
      <c r="AI100" s="125"/>
      <c r="AK100" s="47"/>
      <c r="AL100" s="23"/>
      <c r="AM100" s="24"/>
    </row>
    <row r="101" spans="2:39" ht="21.75" thickBot="1" x14ac:dyDescent="0.35">
      <c r="B101" s="244"/>
      <c r="C101" s="244"/>
      <c r="D101" s="321" t="s">
        <v>77</v>
      </c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322"/>
      <c r="AB101" s="322"/>
      <c r="AC101" s="322"/>
      <c r="AD101" s="322"/>
      <c r="AE101" s="322"/>
      <c r="AF101" s="322"/>
      <c r="AG101" s="133"/>
      <c r="AH101" s="65"/>
      <c r="AI101" s="125"/>
      <c r="AK101" s="47"/>
      <c r="AL101" s="23"/>
      <c r="AM101" s="24"/>
    </row>
    <row r="102" spans="2:39" ht="15.75" thickBot="1" x14ac:dyDescent="0.25">
      <c r="B102" s="244"/>
      <c r="C102" s="244"/>
      <c r="D102" s="4"/>
      <c r="E102" s="1"/>
      <c r="F102" s="10"/>
      <c r="G102" s="10"/>
      <c r="H102" s="1"/>
      <c r="I102" s="1"/>
      <c r="J102" s="1"/>
      <c r="K102" s="1"/>
      <c r="L102" s="1"/>
      <c r="M102" s="10"/>
      <c r="N102" s="10"/>
      <c r="O102" s="1"/>
      <c r="P102" s="1"/>
      <c r="Q102" s="1"/>
      <c r="R102" s="1"/>
      <c r="S102" s="1"/>
      <c r="T102" s="10"/>
      <c r="U102" s="10"/>
      <c r="V102" s="1"/>
      <c r="W102" s="1"/>
      <c r="X102" s="1"/>
      <c r="Y102" s="1"/>
      <c r="Z102" s="1"/>
      <c r="AA102" s="10"/>
      <c r="AB102" s="10"/>
      <c r="AC102" s="1"/>
      <c r="AD102" s="1"/>
      <c r="AE102" s="1"/>
      <c r="AF102" s="1"/>
      <c r="AG102" s="1"/>
      <c r="AH102" s="5"/>
      <c r="AI102" s="125"/>
      <c r="AK102" s="47"/>
      <c r="AL102" s="23"/>
      <c r="AM102" s="27"/>
    </row>
    <row r="103" spans="2:39" ht="15.75" thickBot="1" x14ac:dyDescent="0.25">
      <c r="B103" s="244"/>
      <c r="C103" s="244"/>
      <c r="D103" s="4"/>
      <c r="E103" s="1"/>
      <c r="F103" s="10"/>
      <c r="G103" s="10"/>
      <c r="H103" s="1"/>
      <c r="I103" s="1"/>
      <c r="J103" s="1"/>
      <c r="K103" s="1"/>
      <c r="L103" s="1"/>
      <c r="M103" s="10"/>
      <c r="N103" s="10"/>
      <c r="O103" s="1"/>
      <c r="P103" s="1"/>
      <c r="Q103" s="1"/>
      <c r="R103" s="1"/>
      <c r="S103" s="1"/>
      <c r="T103" s="10"/>
      <c r="U103" s="10"/>
      <c r="V103" s="1"/>
      <c r="W103" s="1"/>
      <c r="X103" s="1"/>
      <c r="Y103" s="1"/>
      <c r="Z103" s="1"/>
      <c r="AA103" s="10"/>
      <c r="AB103" s="10"/>
      <c r="AC103" s="1"/>
      <c r="AD103" s="1"/>
      <c r="AE103" s="1"/>
      <c r="AF103" s="1"/>
      <c r="AG103" s="1"/>
      <c r="AH103" s="5"/>
      <c r="AI103" s="125"/>
      <c r="AK103" s="47"/>
      <c r="AL103" s="26"/>
      <c r="AM103" s="29">
        <v>1</v>
      </c>
    </row>
    <row r="104" spans="2:39" ht="15.75" thickBot="1" x14ac:dyDescent="0.25">
      <c r="B104" s="244"/>
      <c r="C104" s="244"/>
      <c r="AI104" s="125"/>
      <c r="AK104" s="47"/>
      <c r="AL104" s="23"/>
      <c r="AM104" s="28"/>
    </row>
    <row r="105" spans="2:39" x14ac:dyDescent="0.2">
      <c r="B105" s="244"/>
      <c r="C105" s="244"/>
      <c r="D105" s="194">
        <v>46508</v>
      </c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6"/>
      <c r="AI105" s="125"/>
      <c r="AJ105" s="114" t="s">
        <v>51</v>
      </c>
      <c r="AK105" s="47">
        <f>SUM(AK99+2.5-AM103)</f>
        <v>59</v>
      </c>
      <c r="AL105" s="23"/>
      <c r="AM105" s="24"/>
    </row>
    <row r="106" spans="2:39" x14ac:dyDescent="0.2">
      <c r="B106" s="244"/>
      <c r="C106" s="244"/>
      <c r="D106" s="12">
        <v>1</v>
      </c>
      <c r="E106" s="10">
        <v>2</v>
      </c>
      <c r="F106" s="1">
        <v>3</v>
      </c>
      <c r="G106" s="1">
        <v>4</v>
      </c>
      <c r="H106" s="1">
        <v>5</v>
      </c>
      <c r="I106" s="1">
        <v>6</v>
      </c>
      <c r="J106" s="1">
        <v>7</v>
      </c>
      <c r="K106" s="10">
        <v>8</v>
      </c>
      <c r="L106" s="10">
        <v>9</v>
      </c>
      <c r="M106" s="1">
        <v>10</v>
      </c>
      <c r="N106" s="1">
        <v>11</v>
      </c>
      <c r="O106" s="1">
        <v>12</v>
      </c>
      <c r="P106" s="1">
        <v>13</v>
      </c>
      <c r="Q106" s="1">
        <v>14</v>
      </c>
      <c r="R106" s="10">
        <v>15</v>
      </c>
      <c r="S106" s="10">
        <v>16</v>
      </c>
      <c r="T106" s="1">
        <v>17</v>
      </c>
      <c r="U106" s="1">
        <v>18</v>
      </c>
      <c r="V106" s="1">
        <v>19</v>
      </c>
      <c r="W106" s="1">
        <v>20</v>
      </c>
      <c r="X106" s="1">
        <v>21</v>
      </c>
      <c r="Y106" s="10">
        <v>22</v>
      </c>
      <c r="Z106" s="10">
        <v>23</v>
      </c>
      <c r="AA106" s="1">
        <v>24</v>
      </c>
      <c r="AB106" s="1">
        <v>25</v>
      </c>
      <c r="AC106" s="1">
        <v>26</v>
      </c>
      <c r="AD106" s="1">
        <v>27</v>
      </c>
      <c r="AE106" s="1">
        <v>28</v>
      </c>
      <c r="AF106" s="10">
        <v>29</v>
      </c>
      <c r="AG106" s="10">
        <v>30</v>
      </c>
      <c r="AH106" s="5">
        <v>31</v>
      </c>
      <c r="AI106" s="125"/>
      <c r="AK106" s="47"/>
      <c r="AL106" s="23"/>
      <c r="AM106" s="24"/>
    </row>
    <row r="107" spans="2:39" ht="21.75" thickBot="1" x14ac:dyDescent="0.35">
      <c r="B107" s="244"/>
      <c r="C107" s="244"/>
      <c r="D107" s="198" t="s">
        <v>75</v>
      </c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9"/>
      <c r="AI107" s="125"/>
      <c r="AK107" s="47"/>
      <c r="AL107" s="23"/>
      <c r="AM107" s="24"/>
    </row>
    <row r="108" spans="2:39" ht="15.75" thickBot="1" x14ac:dyDescent="0.25">
      <c r="B108" s="244"/>
      <c r="C108" s="244"/>
      <c r="D108" s="12"/>
      <c r="E108" s="10"/>
      <c r="F108" s="1"/>
      <c r="G108" s="1"/>
      <c r="H108" s="1"/>
      <c r="I108" s="1"/>
      <c r="J108" s="1"/>
      <c r="K108" s="10"/>
      <c r="L108" s="10"/>
      <c r="M108" s="1"/>
      <c r="N108" s="1"/>
      <c r="O108" s="1"/>
      <c r="P108" s="1"/>
      <c r="Q108" s="1"/>
      <c r="R108" s="10"/>
      <c r="S108" s="10"/>
      <c r="T108" s="1"/>
      <c r="U108" s="1"/>
      <c r="V108" s="1"/>
      <c r="W108" s="1"/>
      <c r="X108" s="1"/>
      <c r="Y108" s="10"/>
      <c r="Z108" s="10"/>
      <c r="AA108" s="1"/>
      <c r="AB108" s="1"/>
      <c r="AC108" s="1"/>
      <c r="AD108" s="1"/>
      <c r="AE108" s="1"/>
      <c r="AF108" s="10"/>
      <c r="AG108" s="10"/>
      <c r="AH108" s="5"/>
      <c r="AI108" s="125"/>
      <c r="AK108" s="47"/>
      <c r="AL108" s="23"/>
      <c r="AM108" s="27"/>
    </row>
    <row r="109" spans="2:39" ht="15.75" thickBot="1" x14ac:dyDescent="0.25">
      <c r="B109" s="244"/>
      <c r="C109" s="244"/>
      <c r="D109" s="12"/>
      <c r="E109" s="10"/>
      <c r="F109" s="1"/>
      <c r="G109" s="1"/>
      <c r="H109" s="1"/>
      <c r="I109" s="1"/>
      <c r="J109" s="1"/>
      <c r="K109" s="10"/>
      <c r="L109" s="10"/>
      <c r="M109" s="1"/>
      <c r="N109" s="1"/>
      <c r="O109" s="1"/>
      <c r="P109" s="1"/>
      <c r="Q109" s="1"/>
      <c r="R109" s="10"/>
      <c r="S109" s="10"/>
      <c r="T109" s="1"/>
      <c r="U109" s="1"/>
      <c r="V109" s="1"/>
      <c r="W109" s="1"/>
      <c r="X109" s="1"/>
      <c r="Y109" s="10"/>
      <c r="Z109" s="10"/>
      <c r="AA109" s="1"/>
      <c r="AB109" s="1"/>
      <c r="AC109" s="1"/>
      <c r="AD109" s="1"/>
      <c r="AE109" s="1"/>
      <c r="AF109" s="10"/>
      <c r="AG109" s="10"/>
      <c r="AH109" s="5"/>
      <c r="AI109" s="125"/>
      <c r="AK109" s="47"/>
      <c r="AL109" s="26"/>
      <c r="AM109" s="29">
        <v>31</v>
      </c>
    </row>
    <row r="110" spans="2:39" ht="15.75" thickBot="1" x14ac:dyDescent="0.25">
      <c r="B110" s="244"/>
      <c r="C110" s="244"/>
      <c r="AI110" s="125"/>
      <c r="AK110" s="47"/>
      <c r="AL110" s="23"/>
      <c r="AM110" s="28"/>
    </row>
    <row r="111" spans="2:39" x14ac:dyDescent="0.2">
      <c r="B111" s="244"/>
      <c r="C111" s="244"/>
      <c r="D111" s="194">
        <v>46539</v>
      </c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6"/>
      <c r="AI111" s="125"/>
      <c r="AJ111" s="114" t="s">
        <v>52</v>
      </c>
      <c r="AK111" s="47">
        <f>SUM(AK105+2.5-AM109)</f>
        <v>30.5</v>
      </c>
      <c r="AL111" s="23"/>
      <c r="AM111" s="24"/>
    </row>
    <row r="112" spans="2:39" x14ac:dyDescent="0.2">
      <c r="B112" s="244"/>
      <c r="C112" s="244"/>
      <c r="D112" s="4">
        <v>1</v>
      </c>
      <c r="E112" s="1">
        <v>2</v>
      </c>
      <c r="F112" s="1">
        <v>3</v>
      </c>
      <c r="G112" s="1">
        <v>4</v>
      </c>
      <c r="H112" s="10">
        <v>5</v>
      </c>
      <c r="I112" s="10">
        <v>6</v>
      </c>
      <c r="J112" s="1">
        <v>7</v>
      </c>
      <c r="K112" s="1">
        <v>8</v>
      </c>
      <c r="L112" s="1">
        <v>9</v>
      </c>
      <c r="M112" s="1">
        <v>10</v>
      </c>
      <c r="N112" s="1">
        <v>11</v>
      </c>
      <c r="O112" s="10">
        <v>12</v>
      </c>
      <c r="P112" s="10">
        <v>13</v>
      </c>
      <c r="Q112" s="1">
        <v>14</v>
      </c>
      <c r="R112" s="1">
        <v>15</v>
      </c>
      <c r="S112" s="1">
        <v>16</v>
      </c>
      <c r="T112" s="1">
        <v>17</v>
      </c>
      <c r="U112" s="1">
        <v>18</v>
      </c>
      <c r="V112" s="10">
        <v>19</v>
      </c>
      <c r="W112" s="10">
        <v>20</v>
      </c>
      <c r="X112" s="1">
        <v>21</v>
      </c>
      <c r="Y112" s="1">
        <v>22</v>
      </c>
      <c r="Z112" s="1">
        <v>23</v>
      </c>
      <c r="AA112" s="1">
        <v>24</v>
      </c>
      <c r="AB112" s="1">
        <v>25</v>
      </c>
      <c r="AC112" s="10">
        <v>26</v>
      </c>
      <c r="AD112" s="10">
        <v>27</v>
      </c>
      <c r="AE112" s="1">
        <v>28</v>
      </c>
      <c r="AF112" s="1">
        <v>29</v>
      </c>
      <c r="AG112" s="1">
        <v>30</v>
      </c>
      <c r="AH112" s="5"/>
      <c r="AK112" s="47"/>
      <c r="AL112" s="23"/>
      <c r="AM112" s="24"/>
    </row>
    <row r="113" spans="2:39" ht="21.75" thickBot="1" x14ac:dyDescent="0.35">
      <c r="B113" s="244"/>
      <c r="C113" s="244"/>
      <c r="D113" s="320" t="s">
        <v>76</v>
      </c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24"/>
      <c r="AK113" s="47"/>
      <c r="AL113" s="23"/>
      <c r="AM113" s="24"/>
    </row>
    <row r="114" spans="2:39" ht="15.75" thickBot="1" x14ac:dyDescent="0.25">
      <c r="B114" s="244"/>
      <c r="C114" s="244"/>
      <c r="D114" s="99"/>
      <c r="E114" s="102"/>
      <c r="F114" s="1"/>
      <c r="G114" s="1"/>
      <c r="H114" s="10"/>
      <c r="I114" s="10"/>
      <c r="J114" s="1"/>
      <c r="K114" s="1"/>
      <c r="L114" s="1"/>
      <c r="M114" s="1"/>
      <c r="N114" s="1"/>
      <c r="O114" s="10"/>
      <c r="P114" s="10"/>
      <c r="Q114" s="1"/>
      <c r="R114" s="1"/>
      <c r="S114" s="1"/>
      <c r="T114" s="1"/>
      <c r="U114" s="1"/>
      <c r="V114" s="10"/>
      <c r="W114" s="10"/>
      <c r="X114" s="1"/>
      <c r="Y114" s="1"/>
      <c r="Z114" s="1"/>
      <c r="AA114" s="1"/>
      <c r="AB114" s="1"/>
      <c r="AC114" s="10"/>
      <c r="AD114" s="10"/>
      <c r="AE114" s="1"/>
      <c r="AF114" s="1"/>
      <c r="AG114" s="1"/>
      <c r="AH114" s="5"/>
      <c r="AK114" s="47"/>
      <c r="AL114" s="23"/>
      <c r="AM114" s="27"/>
    </row>
    <row r="115" spans="2:39" ht="15.75" thickBot="1" x14ac:dyDescent="0.25">
      <c r="B115" s="244"/>
      <c r="C115" s="244"/>
      <c r="D115" s="99"/>
      <c r="E115" s="102"/>
      <c r="F115" s="1"/>
      <c r="G115" s="1"/>
      <c r="H115" s="10"/>
      <c r="I115" s="10"/>
      <c r="J115" s="1"/>
      <c r="K115" s="1"/>
      <c r="L115" s="1"/>
      <c r="M115" s="1"/>
      <c r="N115" s="1"/>
      <c r="O115" s="10"/>
      <c r="P115" s="10"/>
      <c r="Q115" s="1"/>
      <c r="R115" s="1"/>
      <c r="S115" s="1"/>
      <c r="T115" s="1"/>
      <c r="U115" s="143" t="s">
        <v>91</v>
      </c>
      <c r="V115" s="10"/>
      <c r="W115" s="10"/>
      <c r="X115" s="1"/>
      <c r="Y115" s="1"/>
      <c r="Z115" s="1"/>
      <c r="AA115" s="1"/>
      <c r="AB115" s="1"/>
      <c r="AC115" s="10"/>
      <c r="AD115" s="10"/>
      <c r="AE115" s="1"/>
      <c r="AF115" s="1"/>
      <c r="AG115" s="1"/>
      <c r="AH115" s="5"/>
      <c r="AK115" s="48"/>
      <c r="AL115" s="26"/>
      <c r="AM115" s="29">
        <v>30</v>
      </c>
    </row>
    <row r="116" spans="2:39" ht="35.25" thickBot="1" x14ac:dyDescent="0.55000000000000004">
      <c r="AI116" s="55"/>
      <c r="AJ116" s="55"/>
      <c r="AK116" s="54" t="s">
        <v>11</v>
      </c>
      <c r="AL116" s="115"/>
      <c r="AM116" s="28"/>
    </row>
    <row r="117" spans="2:39" ht="35.25" thickBot="1" x14ac:dyDescent="0.55000000000000004">
      <c r="D117" s="194">
        <v>46569</v>
      </c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6"/>
      <c r="AI117" s="55"/>
      <c r="AJ117" s="55" t="s">
        <v>53</v>
      </c>
      <c r="AK117" s="53">
        <f>SUM(AK111-AM115)</f>
        <v>0.5</v>
      </c>
      <c r="AL117" s="115"/>
      <c r="AM117" s="24"/>
    </row>
    <row r="118" spans="2:39" x14ac:dyDescent="0.2">
      <c r="D118" s="16">
        <v>1</v>
      </c>
      <c r="E118" s="1">
        <v>2</v>
      </c>
      <c r="F118" s="10">
        <v>3</v>
      </c>
      <c r="G118" s="10">
        <v>4</v>
      </c>
      <c r="H118" s="1">
        <v>5</v>
      </c>
      <c r="I118" s="1">
        <v>6</v>
      </c>
      <c r="J118" s="1">
        <v>7</v>
      </c>
      <c r="K118" s="1">
        <v>8</v>
      </c>
      <c r="L118" s="1">
        <v>9</v>
      </c>
      <c r="M118" s="10">
        <v>10</v>
      </c>
      <c r="N118" s="10">
        <v>11</v>
      </c>
      <c r="O118" s="1">
        <v>12</v>
      </c>
      <c r="P118" s="1">
        <v>13</v>
      </c>
      <c r="Q118" s="1">
        <v>14</v>
      </c>
      <c r="R118" s="1">
        <v>15</v>
      </c>
      <c r="S118" s="1">
        <v>16</v>
      </c>
      <c r="T118" s="10">
        <v>17</v>
      </c>
      <c r="U118" s="10">
        <v>18</v>
      </c>
      <c r="V118" s="1">
        <v>19</v>
      </c>
      <c r="W118" s="1">
        <v>20</v>
      </c>
      <c r="X118" s="1">
        <v>21</v>
      </c>
      <c r="Y118" s="1">
        <v>22</v>
      </c>
      <c r="Z118" s="1">
        <v>23</v>
      </c>
      <c r="AA118" s="10">
        <v>24</v>
      </c>
      <c r="AB118" s="10">
        <v>25</v>
      </c>
      <c r="AC118" s="1">
        <v>26</v>
      </c>
      <c r="AD118" s="1">
        <v>27</v>
      </c>
      <c r="AE118" s="1">
        <v>28</v>
      </c>
      <c r="AF118" s="1">
        <v>29</v>
      </c>
      <c r="AG118" s="1">
        <v>30</v>
      </c>
      <c r="AH118" s="14">
        <v>31</v>
      </c>
      <c r="AK118" s="49"/>
      <c r="AL118" s="23"/>
      <c r="AM118" s="24"/>
    </row>
    <row r="119" spans="2:39" x14ac:dyDescent="0.2">
      <c r="D119" s="20" t="s">
        <v>1</v>
      </c>
      <c r="E119" s="1"/>
      <c r="F119" s="10"/>
      <c r="G119" s="10"/>
      <c r="H119" s="1"/>
      <c r="I119" s="1"/>
      <c r="J119" s="1"/>
      <c r="K119" s="1"/>
      <c r="L119" s="1"/>
      <c r="M119" s="10"/>
      <c r="N119" s="10"/>
      <c r="O119" s="1"/>
      <c r="P119" s="1"/>
      <c r="Q119" s="1"/>
      <c r="R119" s="1"/>
      <c r="S119" s="1"/>
      <c r="T119" s="10"/>
      <c r="U119" s="10"/>
      <c r="V119" s="1"/>
      <c r="W119" s="1"/>
      <c r="X119" s="1"/>
      <c r="Y119" s="1"/>
      <c r="Z119" s="1"/>
      <c r="AA119" s="10"/>
      <c r="AB119" s="10"/>
      <c r="AC119" s="1"/>
      <c r="AD119" s="1"/>
      <c r="AE119" s="1"/>
      <c r="AF119" s="1"/>
      <c r="AG119" s="1"/>
      <c r="AH119" s="14"/>
      <c r="AK119" s="47"/>
      <c r="AL119" s="23"/>
      <c r="AM119" s="24"/>
    </row>
    <row r="120" spans="2:39" x14ac:dyDescent="0.2">
      <c r="D120" s="16"/>
      <c r="E120" s="1"/>
      <c r="F120" s="10"/>
      <c r="G120" s="10"/>
      <c r="H120" s="1"/>
      <c r="I120" s="1"/>
      <c r="J120" s="1"/>
      <c r="K120" s="1"/>
      <c r="L120" s="1"/>
      <c r="M120" s="10"/>
      <c r="N120" s="10"/>
      <c r="O120" s="1"/>
      <c r="P120" s="1"/>
      <c r="Q120" s="1"/>
      <c r="R120" s="1"/>
      <c r="S120" s="1"/>
      <c r="T120" s="10"/>
      <c r="U120" s="10"/>
      <c r="V120" s="1"/>
      <c r="W120" s="1"/>
      <c r="X120" s="1"/>
      <c r="Y120" s="1"/>
      <c r="Z120" s="1"/>
      <c r="AA120" s="10"/>
      <c r="AB120" s="10"/>
      <c r="AC120" s="1"/>
      <c r="AD120" s="1"/>
      <c r="AE120" s="1"/>
      <c r="AF120" s="1"/>
      <c r="AG120" s="1"/>
      <c r="AH120" s="14"/>
      <c r="AK120" s="47"/>
      <c r="AL120" s="23"/>
      <c r="AM120" s="24"/>
    </row>
    <row r="121" spans="2:39" ht="15.75" thickBot="1" x14ac:dyDescent="0.25">
      <c r="D121" s="17"/>
      <c r="E121" s="7"/>
      <c r="F121" s="11"/>
      <c r="G121" s="11"/>
      <c r="H121" s="7"/>
      <c r="I121" s="7"/>
      <c r="J121" s="7"/>
      <c r="K121" s="7"/>
      <c r="L121" s="7"/>
      <c r="M121" s="11"/>
      <c r="N121" s="11"/>
      <c r="O121" s="7"/>
      <c r="P121" s="7"/>
      <c r="Q121" s="7"/>
      <c r="R121" s="7"/>
      <c r="S121" s="7"/>
      <c r="T121" s="11"/>
      <c r="U121" s="11"/>
      <c r="V121" s="7"/>
      <c r="W121" s="7"/>
      <c r="X121" s="7"/>
      <c r="Y121" s="7"/>
      <c r="Z121" s="7"/>
      <c r="AA121" s="11"/>
      <c r="AB121" s="11"/>
      <c r="AC121" s="7"/>
      <c r="AD121" s="7"/>
      <c r="AE121" s="7"/>
      <c r="AF121" s="7"/>
      <c r="AG121" s="7"/>
      <c r="AH121" s="15"/>
      <c r="AK121" s="47"/>
      <c r="AL121" s="23"/>
      <c r="AM121" s="24"/>
    </row>
    <row r="124" spans="2:39" x14ac:dyDescent="0.2">
      <c r="AF124">
        <v>6</v>
      </c>
    </row>
    <row r="125" spans="2:39" x14ac:dyDescent="0.2">
      <c r="AF125">
        <v>31</v>
      </c>
    </row>
    <row r="126" spans="2:39" x14ac:dyDescent="0.2">
      <c r="AF126">
        <v>30</v>
      </c>
    </row>
    <row r="127" spans="2:39" x14ac:dyDescent="0.2">
      <c r="AF127">
        <v>7</v>
      </c>
    </row>
    <row r="128" spans="2:39" x14ac:dyDescent="0.2">
      <c r="AF128">
        <f>SUM(AF124:AF127)</f>
        <v>74</v>
      </c>
    </row>
    <row r="132" spans="4:4" x14ac:dyDescent="0.2">
      <c r="D132" t="s">
        <v>20</v>
      </c>
    </row>
    <row r="133" spans="4:4" x14ac:dyDescent="0.2">
      <c r="D133" t="s">
        <v>21</v>
      </c>
    </row>
    <row r="134" spans="4:4" x14ac:dyDescent="0.2">
      <c r="D134" t="s">
        <v>22</v>
      </c>
    </row>
    <row r="135" spans="4:4" x14ac:dyDescent="0.2">
      <c r="D135" t="s">
        <v>23</v>
      </c>
    </row>
    <row r="136" spans="4:4" x14ac:dyDescent="0.2">
      <c r="D136" t="s">
        <v>24</v>
      </c>
    </row>
    <row r="137" spans="4:4" x14ac:dyDescent="0.2">
      <c r="D137" t="s">
        <v>25</v>
      </c>
    </row>
    <row r="138" spans="4:4" x14ac:dyDescent="0.2">
      <c r="D138" t="s">
        <v>26</v>
      </c>
    </row>
    <row r="139" spans="4:4" x14ac:dyDescent="0.2">
      <c r="D139" t="s">
        <v>27</v>
      </c>
    </row>
    <row r="140" spans="4:4" x14ac:dyDescent="0.2">
      <c r="D140" s="86" t="s">
        <v>28</v>
      </c>
    </row>
  </sheetData>
  <mergeCells count="90">
    <mergeCell ref="AA53:AE53"/>
    <mergeCell ref="U47:AB47"/>
    <mergeCell ref="H59:AG59"/>
    <mergeCell ref="H53:J53"/>
    <mergeCell ref="M53:O53"/>
    <mergeCell ref="P53:Q53"/>
    <mergeCell ref="T53:V53"/>
    <mergeCell ref="W53:X53"/>
    <mergeCell ref="D93:AH93"/>
    <mergeCell ref="E35:AH35"/>
    <mergeCell ref="D41:AG41"/>
    <mergeCell ref="D57:AH57"/>
    <mergeCell ref="L55:R55"/>
    <mergeCell ref="N83:R83"/>
    <mergeCell ref="V83:Y83"/>
    <mergeCell ref="D47:E47"/>
    <mergeCell ref="I47:M47"/>
    <mergeCell ref="Q47:T47"/>
    <mergeCell ref="D59:G59"/>
    <mergeCell ref="T60:U60"/>
    <mergeCell ref="D63:AH63"/>
    <mergeCell ref="D69:AH69"/>
    <mergeCell ref="AD47:AF47"/>
    <mergeCell ref="AG47:AH47"/>
    <mergeCell ref="G83:K83"/>
    <mergeCell ref="D65:E65"/>
    <mergeCell ref="H65:L65"/>
    <mergeCell ref="P65:S65"/>
    <mergeCell ref="D89:AE89"/>
    <mergeCell ref="O71:P71"/>
    <mergeCell ref="Z71:AB71"/>
    <mergeCell ref="S71:W71"/>
    <mergeCell ref="P13:R13"/>
    <mergeCell ref="D33:AH33"/>
    <mergeCell ref="D39:AH39"/>
    <mergeCell ref="D29:F29"/>
    <mergeCell ref="D15:AH15"/>
    <mergeCell ref="E17:M17"/>
    <mergeCell ref="N17:AE17"/>
    <mergeCell ref="Y18:AE18"/>
    <mergeCell ref="D21:AH21"/>
    <mergeCell ref="D23:AH23"/>
    <mergeCell ref="D24:K24"/>
    <mergeCell ref="L24:W24"/>
    <mergeCell ref="Z24:AB24"/>
    <mergeCell ref="AC24:AE24"/>
    <mergeCell ref="D27:AH27"/>
    <mergeCell ref="G29:AF29"/>
    <mergeCell ref="D1:AH1"/>
    <mergeCell ref="D4:AH4"/>
    <mergeCell ref="D8:AH8"/>
    <mergeCell ref="D11:AA11"/>
    <mergeCell ref="AB11:AH11"/>
    <mergeCell ref="B45:C115"/>
    <mergeCell ref="D45:AH45"/>
    <mergeCell ref="P48:R48"/>
    <mergeCell ref="S48:T48"/>
    <mergeCell ref="D51:AH51"/>
    <mergeCell ref="H66:I66"/>
    <mergeCell ref="V66:X66"/>
    <mergeCell ref="D107:AH107"/>
    <mergeCell ref="Q60:S60"/>
    <mergeCell ref="D87:AH87"/>
    <mergeCell ref="D95:AH95"/>
    <mergeCell ref="E71:I71"/>
    <mergeCell ref="D81:AH81"/>
    <mergeCell ref="O72:P72"/>
    <mergeCell ref="AB83:AF83"/>
    <mergeCell ref="X77:Z77"/>
    <mergeCell ref="BL64:CP64"/>
    <mergeCell ref="J78:L78"/>
    <mergeCell ref="D75:AH75"/>
    <mergeCell ref="M78:N78"/>
    <mergeCell ref="Y66:Z66"/>
    <mergeCell ref="S72:U72"/>
    <mergeCell ref="V72:W72"/>
    <mergeCell ref="Z72:AD72"/>
    <mergeCell ref="X78:AH78"/>
    <mergeCell ref="V65:Z65"/>
    <mergeCell ref="AC65:AG65"/>
    <mergeCell ref="AE77:AG77"/>
    <mergeCell ref="Q77:U77"/>
    <mergeCell ref="J77:N77"/>
    <mergeCell ref="D77:G77"/>
    <mergeCell ref="D117:AH117"/>
    <mergeCell ref="D113:AG113"/>
    <mergeCell ref="D99:AH99"/>
    <mergeCell ref="D105:AH105"/>
    <mergeCell ref="D111:AH111"/>
    <mergeCell ref="D101:AF101"/>
  </mergeCells>
  <pageMargins left="0.7" right="0.7" top="0.75" bottom="0.75" header="0.3" footer="0.3"/>
  <pageSetup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A9FD-C836-4442-B595-87DB5E6AEF75}">
  <sheetPr>
    <pageSetUpPr fitToPage="1"/>
  </sheetPr>
  <dimension ref="A1:CP140"/>
  <sheetViews>
    <sheetView topLeftCell="A42" zoomScale="80" zoomScaleNormal="80" workbookViewId="0">
      <selection activeCell="T60" sqref="T60:U60"/>
    </sheetView>
  </sheetViews>
  <sheetFormatPr defaultRowHeight="15" x14ac:dyDescent="0.2"/>
  <cols>
    <col min="20" max="20" width="10.625" customWidth="1"/>
    <col min="35" max="35" width="15.19921875" style="165" customWidth="1"/>
    <col min="36" max="36" width="15.46875" style="165" customWidth="1"/>
    <col min="37" max="37" width="13.5859375" style="50" bestFit="1" customWidth="1"/>
    <col min="38" max="38" width="8.609375" style="165"/>
    <col min="39" max="39" width="8.609375" style="25"/>
  </cols>
  <sheetData>
    <row r="1" spans="4:39" x14ac:dyDescent="0.2">
      <c r="D1" s="194">
        <v>45992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6"/>
      <c r="AK1" s="47">
        <v>68</v>
      </c>
      <c r="AL1" s="23"/>
      <c r="AM1" s="24"/>
    </row>
    <row r="2" spans="4:39" x14ac:dyDescent="0.2">
      <c r="D2" s="111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3"/>
      <c r="AK2" s="47"/>
      <c r="AL2" s="23"/>
      <c r="AM2" s="24"/>
    </row>
    <row r="3" spans="4:39" x14ac:dyDescent="0.2">
      <c r="D3" s="30">
        <v>1</v>
      </c>
      <c r="E3" s="31">
        <v>2</v>
      </c>
      <c r="F3" s="31">
        <v>3</v>
      </c>
      <c r="G3" s="31">
        <v>4</v>
      </c>
      <c r="H3" s="31">
        <v>5</v>
      </c>
      <c r="I3" s="10">
        <v>6</v>
      </c>
      <c r="J3" s="10">
        <v>7</v>
      </c>
      <c r="K3" s="31">
        <v>8</v>
      </c>
      <c r="L3" s="31">
        <v>9</v>
      </c>
      <c r="M3" s="31">
        <v>10</v>
      </c>
      <c r="N3" s="31">
        <v>11</v>
      </c>
      <c r="O3" s="31">
        <v>12</v>
      </c>
      <c r="P3" s="10">
        <v>13</v>
      </c>
      <c r="Q3" s="10">
        <v>14</v>
      </c>
      <c r="R3" s="31">
        <v>15</v>
      </c>
      <c r="S3" s="31">
        <v>16</v>
      </c>
      <c r="T3" s="31">
        <v>17</v>
      </c>
      <c r="U3" s="31">
        <v>18</v>
      </c>
      <c r="V3" s="31">
        <v>19</v>
      </c>
      <c r="W3" s="10">
        <v>20</v>
      </c>
      <c r="X3" s="10">
        <v>21</v>
      </c>
      <c r="Y3" s="31">
        <v>22</v>
      </c>
      <c r="Z3" s="31">
        <v>23</v>
      </c>
      <c r="AA3" s="31">
        <v>24</v>
      </c>
      <c r="AB3" s="31">
        <v>25</v>
      </c>
      <c r="AC3" s="31">
        <v>26</v>
      </c>
      <c r="AD3" s="10">
        <v>27</v>
      </c>
      <c r="AE3" s="10">
        <v>28</v>
      </c>
      <c r="AF3" s="31">
        <v>29</v>
      </c>
      <c r="AG3" s="31">
        <v>30</v>
      </c>
      <c r="AH3" s="34">
        <v>31</v>
      </c>
      <c r="AK3" s="47"/>
      <c r="AL3" s="23"/>
      <c r="AM3" s="24"/>
    </row>
    <row r="4" spans="4:39" x14ac:dyDescent="0.2">
      <c r="D4" s="223" t="s">
        <v>5</v>
      </c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5"/>
      <c r="AK4" s="47"/>
      <c r="AL4" s="23"/>
      <c r="AM4" s="24"/>
    </row>
    <row r="5" spans="4:39" ht="15.75" thickBot="1" x14ac:dyDescent="0.25">
      <c r="D5" s="30"/>
      <c r="E5" s="31"/>
      <c r="F5" s="31"/>
      <c r="G5" s="31"/>
      <c r="H5" s="31"/>
      <c r="I5" s="10"/>
      <c r="J5" s="10"/>
      <c r="K5" s="31"/>
      <c r="L5" s="31"/>
      <c r="M5" s="31"/>
      <c r="N5" s="31"/>
      <c r="O5" s="31"/>
      <c r="P5" s="10"/>
      <c r="Q5" s="10"/>
      <c r="R5" s="31"/>
      <c r="S5" s="31"/>
      <c r="T5" s="31"/>
      <c r="U5" s="31"/>
      <c r="V5" s="31"/>
      <c r="W5" s="10"/>
      <c r="X5" s="10"/>
      <c r="Y5" s="31"/>
      <c r="Z5" s="31"/>
      <c r="AA5" s="31"/>
      <c r="AB5" s="31"/>
      <c r="AC5" s="31"/>
      <c r="AD5" s="10"/>
      <c r="AE5" s="10"/>
      <c r="AF5" s="31"/>
      <c r="AG5" s="31"/>
      <c r="AH5" s="34"/>
      <c r="AK5" s="47"/>
      <c r="AL5" s="23"/>
      <c r="AM5" s="24"/>
    </row>
    <row r="6" spans="4:39" ht="15.75" thickBot="1" x14ac:dyDescent="0.25">
      <c r="D6" s="32"/>
      <c r="E6" s="33"/>
      <c r="F6" s="33"/>
      <c r="G6" s="33"/>
      <c r="H6" s="33"/>
      <c r="I6" s="11"/>
      <c r="J6" s="11"/>
      <c r="K6" s="33"/>
      <c r="L6" s="33"/>
      <c r="M6" s="33"/>
      <c r="N6" s="33"/>
      <c r="O6" s="33"/>
      <c r="P6" s="11"/>
      <c r="Q6" s="11"/>
      <c r="R6" s="33"/>
      <c r="S6" s="33"/>
      <c r="T6" s="33"/>
      <c r="U6" s="33"/>
      <c r="V6" s="33"/>
      <c r="W6" s="11"/>
      <c r="X6" s="11"/>
      <c r="Y6" s="33"/>
      <c r="Z6" s="33"/>
      <c r="AA6" s="33"/>
      <c r="AB6" s="33"/>
      <c r="AC6" s="33"/>
      <c r="AD6" s="11"/>
      <c r="AE6" s="11"/>
      <c r="AF6" s="33"/>
      <c r="AG6" s="33"/>
      <c r="AH6" s="35"/>
      <c r="AK6" s="47"/>
      <c r="AL6" s="23"/>
      <c r="AM6" s="29">
        <v>0</v>
      </c>
    </row>
    <row r="7" spans="4:39" ht="15.75" thickBot="1" x14ac:dyDescent="0.25">
      <c r="AK7" s="47"/>
      <c r="AL7" s="23"/>
      <c r="AM7" s="24"/>
    </row>
    <row r="8" spans="4:39" x14ac:dyDescent="0.2">
      <c r="D8" s="194">
        <v>46023</v>
      </c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6"/>
      <c r="AK8" s="47">
        <f>SUM(AK1+2.5-AM6)</f>
        <v>70.5</v>
      </c>
      <c r="AL8" s="23"/>
      <c r="AM8" s="24"/>
    </row>
    <row r="9" spans="4:39" x14ac:dyDescent="0.2">
      <c r="D9" s="111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3"/>
      <c r="AK9" s="47"/>
      <c r="AL9" s="23"/>
      <c r="AM9" s="24"/>
    </row>
    <row r="10" spans="4:39" x14ac:dyDescent="0.2">
      <c r="D10" s="30">
        <v>1</v>
      </c>
      <c r="E10" s="31">
        <v>2</v>
      </c>
      <c r="F10" s="38">
        <v>3</v>
      </c>
      <c r="G10" s="38">
        <v>4</v>
      </c>
      <c r="H10" s="31">
        <v>5</v>
      </c>
      <c r="I10" s="31">
        <v>6</v>
      </c>
      <c r="J10" s="31">
        <v>7</v>
      </c>
      <c r="K10" s="31">
        <v>8</v>
      </c>
      <c r="L10" s="31">
        <v>9</v>
      </c>
      <c r="M10" s="38">
        <v>10</v>
      </c>
      <c r="N10" s="38">
        <v>11</v>
      </c>
      <c r="O10" s="31">
        <v>12</v>
      </c>
      <c r="P10" s="31">
        <v>13</v>
      </c>
      <c r="Q10" s="31">
        <v>14</v>
      </c>
      <c r="R10" s="31">
        <v>15</v>
      </c>
      <c r="S10" s="31">
        <v>16</v>
      </c>
      <c r="T10" s="38">
        <v>17</v>
      </c>
      <c r="U10" s="38">
        <v>18</v>
      </c>
      <c r="V10" s="31">
        <v>19</v>
      </c>
      <c r="W10" s="31">
        <v>20</v>
      </c>
      <c r="X10" s="31">
        <v>21</v>
      </c>
      <c r="Y10" s="31">
        <v>22</v>
      </c>
      <c r="Z10" s="31">
        <v>23</v>
      </c>
      <c r="AA10" s="38">
        <v>24</v>
      </c>
      <c r="AB10" s="38">
        <v>25</v>
      </c>
      <c r="AC10" s="31">
        <v>26</v>
      </c>
      <c r="AD10" s="31">
        <v>27</v>
      </c>
      <c r="AE10" s="31">
        <v>28</v>
      </c>
      <c r="AF10" s="31">
        <v>29</v>
      </c>
      <c r="AG10" s="31">
        <v>30</v>
      </c>
      <c r="AH10" s="40">
        <v>31</v>
      </c>
      <c r="AK10" s="47"/>
      <c r="AL10" s="23"/>
      <c r="AM10" s="24"/>
    </row>
    <row r="11" spans="4:39" x14ac:dyDescent="0.2">
      <c r="D11" s="223" t="s">
        <v>5</v>
      </c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6"/>
      <c r="AB11" s="227" t="s">
        <v>37</v>
      </c>
      <c r="AC11" s="228"/>
      <c r="AD11" s="228"/>
      <c r="AE11" s="228"/>
      <c r="AF11" s="228"/>
      <c r="AG11" s="228"/>
      <c r="AH11" s="229"/>
      <c r="AK11" s="47"/>
      <c r="AL11" s="23"/>
      <c r="AM11" s="24"/>
    </row>
    <row r="12" spans="4:39" ht="15.75" thickBot="1" x14ac:dyDescent="0.25">
      <c r="D12" s="30"/>
      <c r="E12" s="31"/>
      <c r="F12" s="38"/>
      <c r="G12" s="38"/>
      <c r="H12" s="31"/>
      <c r="I12" s="31"/>
      <c r="J12" s="31"/>
      <c r="K12" s="31"/>
      <c r="L12" s="31"/>
      <c r="M12" s="38"/>
      <c r="N12" s="38"/>
      <c r="O12" s="31"/>
      <c r="P12" s="31"/>
      <c r="Q12" s="31"/>
      <c r="R12" s="31"/>
      <c r="S12" s="31"/>
      <c r="T12" s="38"/>
      <c r="U12" s="38"/>
      <c r="V12" s="31"/>
      <c r="W12" s="31"/>
      <c r="X12" s="31"/>
      <c r="Y12" s="31"/>
      <c r="Z12" s="33"/>
      <c r="AA12" s="39"/>
      <c r="AB12" s="39"/>
      <c r="AC12" s="33"/>
      <c r="AD12" s="33"/>
      <c r="AE12" s="33"/>
      <c r="AF12" s="33"/>
      <c r="AG12" s="33"/>
      <c r="AH12" s="41"/>
      <c r="AK12" s="47"/>
      <c r="AL12" s="23"/>
      <c r="AM12" s="24"/>
    </row>
    <row r="13" spans="4:39" ht="15.75" thickBot="1" x14ac:dyDescent="0.25">
      <c r="D13" s="32"/>
      <c r="E13" s="33"/>
      <c r="F13" s="39"/>
      <c r="G13" s="39"/>
      <c r="H13" s="33"/>
      <c r="I13" s="33"/>
      <c r="J13" s="33"/>
      <c r="K13" s="33"/>
      <c r="L13" s="33"/>
      <c r="M13" s="39"/>
      <c r="N13" s="39"/>
      <c r="O13" s="45"/>
      <c r="P13" s="221" t="s">
        <v>8</v>
      </c>
      <c r="Q13" s="222"/>
      <c r="R13" s="222"/>
      <c r="S13" s="46"/>
      <c r="T13" s="39"/>
      <c r="U13" s="39"/>
      <c r="V13" s="33"/>
      <c r="W13" s="33"/>
      <c r="X13" s="33"/>
      <c r="Y13" s="33"/>
      <c r="Z13" s="33"/>
      <c r="AA13" s="39"/>
      <c r="AB13" s="39"/>
      <c r="AC13" s="33"/>
      <c r="AD13" s="33"/>
      <c r="AE13" s="33"/>
      <c r="AF13" s="33"/>
      <c r="AG13" s="33"/>
      <c r="AH13" s="41"/>
      <c r="AK13" s="47"/>
      <c r="AL13" s="23"/>
      <c r="AM13" s="29">
        <v>7</v>
      </c>
    </row>
    <row r="14" spans="4:39" ht="15.75" thickBot="1" x14ac:dyDescent="0.25">
      <c r="AK14" s="47"/>
      <c r="AL14" s="23"/>
      <c r="AM14" s="24"/>
    </row>
    <row r="15" spans="4:39" x14ac:dyDescent="0.2">
      <c r="D15" s="194">
        <v>46054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6"/>
      <c r="AK15" s="47">
        <f>SUM(AK8+2.5-AM13)</f>
        <v>66</v>
      </c>
      <c r="AL15" s="23"/>
      <c r="AM15" s="24"/>
    </row>
    <row r="16" spans="4:39" x14ac:dyDescent="0.2">
      <c r="D16" s="42">
        <v>1</v>
      </c>
      <c r="E16" s="1">
        <v>2</v>
      </c>
      <c r="F16" s="1">
        <v>3</v>
      </c>
      <c r="G16" s="1">
        <v>4</v>
      </c>
      <c r="H16" s="31">
        <v>5</v>
      </c>
      <c r="I16" s="31">
        <v>6</v>
      </c>
      <c r="J16" s="38">
        <v>7</v>
      </c>
      <c r="K16" s="38">
        <v>8</v>
      </c>
      <c r="L16" s="31">
        <v>9</v>
      </c>
      <c r="M16" s="31">
        <v>10</v>
      </c>
      <c r="N16" s="31">
        <v>11</v>
      </c>
      <c r="O16" s="31">
        <v>12</v>
      </c>
      <c r="P16" s="31">
        <v>13</v>
      </c>
      <c r="Q16" s="38">
        <v>14</v>
      </c>
      <c r="R16" s="38">
        <v>15</v>
      </c>
      <c r="S16" s="31">
        <v>16</v>
      </c>
      <c r="T16" s="31">
        <v>17</v>
      </c>
      <c r="U16" s="31">
        <v>18</v>
      </c>
      <c r="V16" s="31">
        <v>19</v>
      </c>
      <c r="W16" s="31">
        <v>20</v>
      </c>
      <c r="X16" s="38">
        <v>21</v>
      </c>
      <c r="Y16" s="38">
        <v>22</v>
      </c>
      <c r="Z16" s="31">
        <v>23</v>
      </c>
      <c r="AA16" s="31">
        <v>24</v>
      </c>
      <c r="AB16" s="31">
        <v>25</v>
      </c>
      <c r="AC16" s="31">
        <v>26</v>
      </c>
      <c r="AD16" s="31">
        <v>27</v>
      </c>
      <c r="AE16" s="38">
        <v>28</v>
      </c>
      <c r="AF16" s="38">
        <v>29</v>
      </c>
      <c r="AG16" s="1"/>
      <c r="AH16" s="5"/>
      <c r="AK16" s="47"/>
      <c r="AL16" s="23"/>
      <c r="AM16" s="24"/>
    </row>
    <row r="17" spans="4:41" x14ac:dyDescent="0.2">
      <c r="D17" s="18"/>
      <c r="E17" s="233" t="s">
        <v>5</v>
      </c>
      <c r="F17" s="224"/>
      <c r="G17" s="224"/>
      <c r="H17" s="224"/>
      <c r="I17" s="224"/>
      <c r="J17" s="224"/>
      <c r="K17" s="224"/>
      <c r="L17" s="224"/>
      <c r="M17" s="226"/>
      <c r="N17" s="234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6"/>
      <c r="AF17" s="38"/>
      <c r="AG17" s="1"/>
      <c r="AH17" s="5"/>
      <c r="AK17" s="47"/>
      <c r="AL17" s="23"/>
      <c r="AM17" s="24"/>
    </row>
    <row r="18" spans="4:41" ht="15.75" thickBot="1" x14ac:dyDescent="0.25">
      <c r="D18" s="18" t="s">
        <v>4</v>
      </c>
      <c r="E18" s="1"/>
      <c r="F18" s="1"/>
      <c r="G18" s="1"/>
      <c r="H18" s="31"/>
      <c r="I18" s="31"/>
      <c r="J18" s="38"/>
      <c r="K18" s="38"/>
      <c r="L18" s="31"/>
      <c r="M18" s="31"/>
      <c r="N18" s="31"/>
      <c r="O18" s="31"/>
      <c r="P18" s="31"/>
      <c r="Q18" s="38"/>
      <c r="R18" s="38"/>
      <c r="S18" s="31"/>
      <c r="T18" s="31"/>
      <c r="U18" s="31"/>
      <c r="V18" s="31"/>
      <c r="W18" s="31"/>
      <c r="X18" s="38"/>
      <c r="Y18" s="237" t="s">
        <v>7</v>
      </c>
      <c r="Z18" s="238"/>
      <c r="AA18" s="238"/>
      <c r="AB18" s="238"/>
      <c r="AC18" s="238"/>
      <c r="AD18" s="238"/>
      <c r="AE18" s="238"/>
      <c r="AF18" s="110"/>
      <c r="AG18" s="1"/>
      <c r="AH18" s="5"/>
      <c r="AK18" s="47"/>
      <c r="AL18" s="23"/>
      <c r="AM18" s="24"/>
    </row>
    <row r="19" spans="4:41" ht="15.75" thickBot="1" x14ac:dyDescent="0.25">
      <c r="D19" s="19"/>
      <c r="E19" s="7"/>
      <c r="F19" s="7"/>
      <c r="G19" s="7"/>
      <c r="H19" s="33"/>
      <c r="I19" s="33"/>
      <c r="J19" s="39"/>
      <c r="K19" s="39"/>
      <c r="L19" s="22" t="s">
        <v>9</v>
      </c>
      <c r="M19" s="33"/>
      <c r="N19" s="33"/>
      <c r="O19" s="33"/>
      <c r="P19" s="33"/>
      <c r="Q19" s="39"/>
      <c r="R19" s="39"/>
      <c r="S19" s="33"/>
      <c r="T19" s="33"/>
      <c r="U19" s="33"/>
      <c r="V19" s="33"/>
      <c r="W19" s="33"/>
      <c r="X19" s="39"/>
      <c r="Y19" s="39"/>
      <c r="Z19" s="33"/>
      <c r="AA19" s="33"/>
      <c r="AB19" s="33"/>
      <c r="AC19" s="33"/>
      <c r="AD19" s="33"/>
      <c r="AE19" s="39"/>
      <c r="AF19" s="39"/>
      <c r="AG19" s="7"/>
      <c r="AH19" s="8"/>
      <c r="AK19" s="47"/>
      <c r="AL19" s="23"/>
      <c r="AM19" s="29">
        <v>1</v>
      </c>
    </row>
    <row r="20" spans="4:41" ht="15.75" thickBot="1" x14ac:dyDescent="0.25">
      <c r="AK20" s="47"/>
      <c r="AL20" s="23"/>
      <c r="AM20" s="28"/>
    </row>
    <row r="21" spans="4:41" x14ac:dyDescent="0.2">
      <c r="D21" s="194">
        <v>46082</v>
      </c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6"/>
      <c r="AJ21" s="165" t="s">
        <v>0</v>
      </c>
      <c r="AK21" s="47">
        <f>SUM(AK15+2.5-AM19)</f>
        <v>67.5</v>
      </c>
      <c r="AL21" s="23"/>
      <c r="AM21" s="24"/>
    </row>
    <row r="22" spans="4:41" x14ac:dyDescent="0.2">
      <c r="D22" s="42">
        <v>1</v>
      </c>
      <c r="E22" s="1">
        <v>2</v>
      </c>
      <c r="F22" s="31">
        <v>3</v>
      </c>
      <c r="G22" s="31">
        <v>4</v>
      </c>
      <c r="H22" s="31">
        <v>5</v>
      </c>
      <c r="I22" s="31">
        <v>6</v>
      </c>
      <c r="J22" s="38">
        <v>7</v>
      </c>
      <c r="K22" s="38">
        <v>8</v>
      </c>
      <c r="L22" s="31">
        <v>9</v>
      </c>
      <c r="M22" s="31">
        <v>10</v>
      </c>
      <c r="N22" s="31">
        <v>11</v>
      </c>
      <c r="O22" s="31">
        <v>12</v>
      </c>
      <c r="P22" s="31">
        <v>13</v>
      </c>
      <c r="Q22" s="38">
        <v>14</v>
      </c>
      <c r="R22" s="38">
        <v>15</v>
      </c>
      <c r="S22" s="31">
        <v>16</v>
      </c>
      <c r="T22" s="31">
        <v>17</v>
      </c>
      <c r="U22" s="31">
        <v>18</v>
      </c>
      <c r="V22" s="31">
        <v>19</v>
      </c>
      <c r="W22" s="31">
        <v>20</v>
      </c>
      <c r="X22" s="38">
        <v>21</v>
      </c>
      <c r="Y22" s="38">
        <v>22</v>
      </c>
      <c r="Z22" s="31">
        <v>23</v>
      </c>
      <c r="AA22" s="31">
        <v>24</v>
      </c>
      <c r="AB22" s="31">
        <v>25</v>
      </c>
      <c r="AC22" s="31">
        <v>26</v>
      </c>
      <c r="AD22" s="31">
        <v>27</v>
      </c>
      <c r="AE22" s="38">
        <v>28</v>
      </c>
      <c r="AF22" s="38">
        <v>29</v>
      </c>
      <c r="AG22" s="31">
        <v>30</v>
      </c>
      <c r="AH22" s="34">
        <v>31</v>
      </c>
      <c r="AK22" s="47"/>
      <c r="AL22" s="23"/>
      <c r="AM22" s="24"/>
    </row>
    <row r="23" spans="4:41" x14ac:dyDescent="0.2">
      <c r="D23" s="223" t="s">
        <v>5</v>
      </c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5"/>
      <c r="AK23" s="47"/>
      <c r="AL23" s="23"/>
      <c r="AM23" s="24"/>
    </row>
    <row r="24" spans="4:41" ht="15.75" thickBot="1" x14ac:dyDescent="0.25">
      <c r="D24" s="237" t="s">
        <v>6</v>
      </c>
      <c r="E24" s="239"/>
      <c r="F24" s="239"/>
      <c r="G24" s="239"/>
      <c r="H24" s="239"/>
      <c r="I24" s="239"/>
      <c r="J24" s="239"/>
      <c r="K24" s="240"/>
      <c r="L24" s="241" t="s">
        <v>10</v>
      </c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3"/>
      <c r="X24" s="38"/>
      <c r="Y24" s="38"/>
      <c r="Z24" s="237" t="s">
        <v>13</v>
      </c>
      <c r="AA24" s="239"/>
      <c r="AB24" s="239"/>
      <c r="AC24" s="237" t="s">
        <v>14</v>
      </c>
      <c r="AD24" s="239"/>
      <c r="AE24" s="239"/>
      <c r="AF24" s="39"/>
      <c r="AG24" s="31"/>
      <c r="AH24" s="34"/>
      <c r="AK24" s="47"/>
      <c r="AL24" s="23"/>
      <c r="AM24" s="24"/>
    </row>
    <row r="25" spans="4:41" ht="15.75" thickBot="1" x14ac:dyDescent="0.25">
      <c r="D25" s="43"/>
      <c r="E25" s="7"/>
      <c r="F25" s="33"/>
      <c r="G25" s="33"/>
      <c r="H25" s="33"/>
      <c r="I25" s="33"/>
      <c r="J25" s="39"/>
      <c r="K25" s="39"/>
      <c r="L25" s="33"/>
      <c r="M25" s="33"/>
      <c r="N25" s="33"/>
      <c r="O25" s="33"/>
      <c r="P25" s="33"/>
      <c r="Q25" s="39"/>
      <c r="R25" s="39"/>
      <c r="S25" s="33"/>
      <c r="T25" s="33"/>
      <c r="U25" s="33"/>
      <c r="V25" s="33"/>
      <c r="W25" s="33"/>
      <c r="X25" s="39"/>
      <c r="Y25" s="39"/>
      <c r="Z25" s="33"/>
      <c r="AA25" s="33"/>
      <c r="AB25" s="33"/>
      <c r="AC25" s="33"/>
      <c r="AD25" s="33"/>
      <c r="AE25" s="39"/>
      <c r="AF25" s="39"/>
      <c r="AG25" s="33"/>
      <c r="AH25" s="35"/>
      <c r="AK25" s="47"/>
      <c r="AL25" s="23"/>
      <c r="AM25" s="29">
        <v>0</v>
      </c>
    </row>
    <row r="26" spans="4:41" ht="30" thickBot="1" x14ac:dyDescent="0.4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K26" s="47"/>
      <c r="AL26" s="23"/>
      <c r="AM26" s="28"/>
      <c r="AO26" s="126" t="s">
        <v>42</v>
      </c>
    </row>
    <row r="27" spans="4:41" ht="30" thickBot="1" x14ac:dyDescent="0.45">
      <c r="D27" s="190">
        <v>46113</v>
      </c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2"/>
      <c r="AG27" s="192"/>
      <c r="AH27" s="193"/>
      <c r="AJ27" s="165" t="s">
        <v>50</v>
      </c>
      <c r="AK27" s="47">
        <v>69</v>
      </c>
      <c r="AL27" s="23"/>
      <c r="AM27" s="24"/>
      <c r="AO27" s="126">
        <v>23</v>
      </c>
    </row>
    <row r="28" spans="4:41" ht="29.25" x14ac:dyDescent="0.4">
      <c r="D28" s="36">
        <v>1</v>
      </c>
      <c r="E28" s="37">
        <v>2</v>
      </c>
      <c r="F28" s="37">
        <v>3</v>
      </c>
      <c r="G28" s="44">
        <v>4</v>
      </c>
      <c r="H28" s="44">
        <v>5</v>
      </c>
      <c r="I28" s="37">
        <v>6</v>
      </c>
      <c r="J28" s="37">
        <v>7</v>
      </c>
      <c r="K28" s="37">
        <v>8</v>
      </c>
      <c r="L28" s="37">
        <v>9</v>
      </c>
      <c r="M28" s="37">
        <v>10</v>
      </c>
      <c r="N28" s="44">
        <v>11</v>
      </c>
      <c r="O28" s="44">
        <v>12</v>
      </c>
      <c r="P28" s="37">
        <v>13</v>
      </c>
      <c r="Q28" s="37">
        <v>14</v>
      </c>
      <c r="R28" s="37">
        <v>15</v>
      </c>
      <c r="S28" s="37">
        <v>16</v>
      </c>
      <c r="T28" s="37">
        <v>17</v>
      </c>
      <c r="U28" s="44">
        <v>18</v>
      </c>
      <c r="V28" s="44">
        <v>19</v>
      </c>
      <c r="W28" s="37">
        <v>20</v>
      </c>
      <c r="X28" s="37">
        <v>21</v>
      </c>
      <c r="Y28" s="37">
        <v>22</v>
      </c>
      <c r="Z28" s="37">
        <v>23</v>
      </c>
      <c r="AA28" s="37">
        <v>24</v>
      </c>
      <c r="AB28" s="44">
        <v>25</v>
      </c>
      <c r="AC28" s="44">
        <v>26</v>
      </c>
      <c r="AD28" s="37">
        <v>27</v>
      </c>
      <c r="AE28" s="37">
        <v>28</v>
      </c>
      <c r="AF28" s="37">
        <v>29</v>
      </c>
      <c r="AG28" s="2">
        <v>30</v>
      </c>
      <c r="AH28" s="3"/>
      <c r="AK28" s="47"/>
      <c r="AL28" s="23"/>
      <c r="AM28" s="24"/>
      <c r="AO28" s="126"/>
    </row>
    <row r="29" spans="4:41" ht="29.25" customHeight="1" x14ac:dyDescent="0.4">
      <c r="D29" s="230" t="s">
        <v>19</v>
      </c>
      <c r="E29" s="231"/>
      <c r="F29" s="232"/>
      <c r="G29" s="223" t="s">
        <v>5</v>
      </c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157"/>
      <c r="AH29" s="71"/>
      <c r="AK29" s="47"/>
      <c r="AL29" s="23"/>
      <c r="AM29" s="24"/>
      <c r="AO29" s="126"/>
    </row>
    <row r="30" spans="4:41" ht="30" thickBot="1" x14ac:dyDescent="0.45">
      <c r="D30" s="30"/>
      <c r="E30" s="31"/>
      <c r="F30" s="31"/>
      <c r="G30" s="38"/>
      <c r="H30" s="38"/>
      <c r="I30" s="31"/>
      <c r="J30" s="31"/>
      <c r="K30" s="31"/>
      <c r="L30" s="31"/>
      <c r="M30" s="31"/>
      <c r="N30" s="38"/>
      <c r="O30" s="38"/>
      <c r="P30" s="31"/>
      <c r="Q30" s="31"/>
      <c r="R30" s="31"/>
      <c r="S30" s="31"/>
      <c r="T30" s="31"/>
      <c r="U30" s="38"/>
      <c r="V30" s="38"/>
      <c r="W30" s="33"/>
      <c r="X30" s="33"/>
      <c r="Y30" s="33"/>
      <c r="Z30" s="33"/>
      <c r="AA30" s="33"/>
      <c r="AB30" s="39"/>
      <c r="AC30" s="39"/>
      <c r="AD30" s="33"/>
      <c r="AE30" s="33"/>
      <c r="AF30" s="33"/>
      <c r="AG30" s="7"/>
      <c r="AH30" s="8"/>
      <c r="AK30" s="47"/>
      <c r="AL30" s="23"/>
      <c r="AM30" s="24"/>
      <c r="AO30" s="126"/>
    </row>
    <row r="31" spans="4:41" ht="30" thickBot="1" x14ac:dyDescent="0.45">
      <c r="D31" s="32"/>
      <c r="E31" s="33"/>
      <c r="F31" s="33"/>
      <c r="G31" s="39"/>
      <c r="H31" s="39"/>
      <c r="I31" s="33"/>
      <c r="J31" s="33"/>
      <c r="K31" s="33"/>
      <c r="L31" s="33"/>
      <c r="M31" s="33"/>
      <c r="N31" s="39"/>
      <c r="O31" s="39"/>
      <c r="P31" s="33"/>
      <c r="Q31" s="33"/>
      <c r="R31" s="33"/>
      <c r="S31" s="33"/>
      <c r="T31" s="33"/>
      <c r="U31" s="39"/>
      <c r="V31" s="39"/>
      <c r="W31" s="33"/>
      <c r="X31" s="33"/>
      <c r="Y31" s="33"/>
      <c r="Z31" s="33"/>
      <c r="AA31" s="33"/>
      <c r="AB31" s="39"/>
      <c r="AC31" s="39"/>
      <c r="AD31" s="33"/>
      <c r="AE31" s="33"/>
      <c r="AF31" s="33"/>
      <c r="AG31" s="7"/>
      <c r="AH31" s="8"/>
      <c r="AK31" s="47"/>
      <c r="AL31" s="23"/>
      <c r="AM31" s="29">
        <v>4</v>
      </c>
      <c r="AO31" s="126">
        <f>SUM(AO27-AM31)</f>
        <v>19</v>
      </c>
    </row>
    <row r="32" spans="4:41" ht="30" thickBot="1" x14ac:dyDescent="0.45">
      <c r="AK32" s="47"/>
      <c r="AL32" s="23"/>
      <c r="AM32" s="24"/>
      <c r="AO32" s="126"/>
    </row>
    <row r="33" spans="2:41" ht="29.25" x14ac:dyDescent="0.4">
      <c r="D33" s="194">
        <v>46143</v>
      </c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6"/>
      <c r="AJ33" s="165" t="s">
        <v>51</v>
      </c>
      <c r="AK33" s="47">
        <v>68</v>
      </c>
      <c r="AL33" s="23"/>
      <c r="AM33" s="24"/>
      <c r="AO33" s="126"/>
    </row>
    <row r="34" spans="2:41" ht="29.25" x14ac:dyDescent="0.4">
      <c r="D34" s="4">
        <v>1</v>
      </c>
      <c r="E34" s="38">
        <v>2</v>
      </c>
      <c r="F34" s="38">
        <v>3</v>
      </c>
      <c r="G34" s="31">
        <v>4</v>
      </c>
      <c r="H34" s="31">
        <v>5</v>
      </c>
      <c r="I34" s="31">
        <v>6</v>
      </c>
      <c r="J34" s="31">
        <v>7</v>
      </c>
      <c r="K34" s="31">
        <v>8</v>
      </c>
      <c r="L34" s="38">
        <v>9</v>
      </c>
      <c r="M34" s="38">
        <v>10</v>
      </c>
      <c r="N34" s="31">
        <v>11</v>
      </c>
      <c r="O34" s="31">
        <v>12</v>
      </c>
      <c r="P34" s="31">
        <v>13</v>
      </c>
      <c r="Q34" s="31">
        <v>14</v>
      </c>
      <c r="R34" s="31">
        <v>15</v>
      </c>
      <c r="S34" s="38">
        <v>16</v>
      </c>
      <c r="T34" s="38">
        <v>17</v>
      </c>
      <c r="U34" s="31">
        <v>18</v>
      </c>
      <c r="V34" s="31">
        <v>19</v>
      </c>
      <c r="W34" s="31">
        <v>20</v>
      </c>
      <c r="X34" s="31">
        <v>21</v>
      </c>
      <c r="Y34" s="31">
        <v>22</v>
      </c>
      <c r="Z34" s="38">
        <v>23</v>
      </c>
      <c r="AA34" s="38">
        <v>24</v>
      </c>
      <c r="AB34" s="31">
        <v>25</v>
      </c>
      <c r="AC34" s="31">
        <v>26</v>
      </c>
      <c r="AD34" s="31">
        <v>27</v>
      </c>
      <c r="AE34" s="31">
        <v>28</v>
      </c>
      <c r="AF34" s="31">
        <v>29</v>
      </c>
      <c r="AG34" s="38">
        <v>30</v>
      </c>
      <c r="AH34" s="40">
        <v>31</v>
      </c>
      <c r="AK34" s="47"/>
      <c r="AL34" s="23"/>
      <c r="AM34" s="24"/>
      <c r="AO34" s="126"/>
    </row>
    <row r="35" spans="2:41" ht="29.25" x14ac:dyDescent="0.4">
      <c r="D35" s="158" t="s">
        <v>87</v>
      </c>
      <c r="E35" s="223" t="s">
        <v>5</v>
      </c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5"/>
      <c r="AK35" s="47"/>
      <c r="AL35" s="23"/>
      <c r="AM35" s="24"/>
      <c r="AO35" s="126"/>
    </row>
    <row r="36" spans="2:41" ht="30" thickBot="1" x14ac:dyDescent="0.45">
      <c r="D36" s="4"/>
      <c r="E36" s="38"/>
      <c r="F36" s="38"/>
      <c r="G36" s="31"/>
      <c r="H36" s="31"/>
      <c r="I36" s="31"/>
      <c r="J36" s="31"/>
      <c r="K36" s="31"/>
      <c r="L36" s="38"/>
      <c r="M36" s="38"/>
      <c r="N36" s="31"/>
      <c r="O36" s="31"/>
      <c r="P36" s="31"/>
      <c r="Q36" s="31"/>
      <c r="R36" s="31"/>
      <c r="S36" s="38"/>
      <c r="T36" s="38"/>
      <c r="U36" s="31"/>
      <c r="V36" s="31"/>
      <c r="W36" s="31"/>
      <c r="X36" s="31"/>
      <c r="Y36" s="31"/>
      <c r="Z36" s="38"/>
      <c r="AA36" s="38"/>
      <c r="AB36" s="31"/>
      <c r="AC36" s="31"/>
      <c r="AD36" s="31"/>
      <c r="AE36" s="31"/>
      <c r="AF36" s="31"/>
      <c r="AG36" s="38"/>
      <c r="AH36" s="40"/>
      <c r="AK36" s="47"/>
      <c r="AL36" s="23"/>
      <c r="AM36" s="24"/>
      <c r="AO36" s="126"/>
    </row>
    <row r="37" spans="2:41" ht="30" thickBot="1" x14ac:dyDescent="0.45">
      <c r="D37" s="6"/>
      <c r="E37" s="39"/>
      <c r="F37" s="39"/>
      <c r="G37" s="33"/>
      <c r="H37" s="33"/>
      <c r="I37" s="33"/>
      <c r="J37" s="33"/>
      <c r="K37" s="33"/>
      <c r="L37" s="39"/>
      <c r="M37" s="39"/>
      <c r="N37" s="33"/>
      <c r="O37" s="33"/>
      <c r="P37" s="33"/>
      <c r="Q37" s="33"/>
      <c r="R37" s="33"/>
      <c r="S37" s="39"/>
      <c r="T37" s="39"/>
      <c r="U37" s="33"/>
      <c r="V37" s="33"/>
      <c r="W37" s="33"/>
      <c r="X37" s="33"/>
      <c r="Y37" s="33"/>
      <c r="Z37" s="39"/>
      <c r="AA37" s="39"/>
      <c r="AB37" s="33"/>
      <c r="AC37" s="33"/>
      <c r="AD37" s="33"/>
      <c r="AE37" s="33"/>
      <c r="AF37" s="33"/>
      <c r="AG37" s="39"/>
      <c r="AH37" s="41"/>
      <c r="AK37" s="47"/>
      <c r="AL37" s="23"/>
      <c r="AM37" s="29">
        <v>1</v>
      </c>
      <c r="AO37" s="126">
        <f>SUM(AO31-AM37)</f>
        <v>18</v>
      </c>
    </row>
    <row r="38" spans="2:41" ht="30" thickBot="1" x14ac:dyDescent="0.4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K38" s="47"/>
      <c r="AL38" s="23"/>
      <c r="AM38" s="24"/>
      <c r="AO38" s="126"/>
    </row>
    <row r="39" spans="2:41" ht="30" thickBot="1" x14ac:dyDescent="0.45">
      <c r="D39" s="190">
        <v>46174</v>
      </c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2"/>
      <c r="AG39" s="192"/>
      <c r="AH39" s="193"/>
      <c r="AJ39" s="165" t="s">
        <v>52</v>
      </c>
      <c r="AK39" s="47">
        <f>SUM(AK33+2.5-AM37)</f>
        <v>69.5</v>
      </c>
      <c r="AL39" s="23"/>
      <c r="AM39" s="24"/>
      <c r="AO39" s="126"/>
    </row>
    <row r="40" spans="2:41" ht="29.25" x14ac:dyDescent="0.4">
      <c r="D40" s="36">
        <v>1</v>
      </c>
      <c r="E40" s="37">
        <v>2</v>
      </c>
      <c r="F40" s="37">
        <v>3</v>
      </c>
      <c r="G40" s="37">
        <v>4</v>
      </c>
      <c r="H40" s="37">
        <v>5</v>
      </c>
      <c r="I40" s="44">
        <v>6</v>
      </c>
      <c r="J40" s="44">
        <v>7</v>
      </c>
      <c r="K40" s="37">
        <v>8</v>
      </c>
      <c r="L40" s="37">
        <v>9</v>
      </c>
      <c r="M40" s="37">
        <v>10</v>
      </c>
      <c r="N40" s="37">
        <v>11</v>
      </c>
      <c r="O40" s="37">
        <v>12</v>
      </c>
      <c r="P40" s="44">
        <v>13</v>
      </c>
      <c r="Q40" s="44">
        <v>14</v>
      </c>
      <c r="R40" s="37">
        <v>15</v>
      </c>
      <c r="S40" s="37">
        <v>16</v>
      </c>
      <c r="T40" s="37">
        <v>17</v>
      </c>
      <c r="U40" s="37">
        <v>18</v>
      </c>
      <c r="V40" s="37">
        <v>19</v>
      </c>
      <c r="W40" s="44">
        <v>20</v>
      </c>
      <c r="X40" s="44">
        <v>21</v>
      </c>
      <c r="Y40" s="37">
        <v>22</v>
      </c>
      <c r="Z40" s="37">
        <v>23</v>
      </c>
      <c r="AA40" s="37">
        <v>24</v>
      </c>
      <c r="AB40" s="37">
        <v>25</v>
      </c>
      <c r="AC40" s="37">
        <v>26</v>
      </c>
      <c r="AD40" s="44">
        <v>27</v>
      </c>
      <c r="AE40" s="44">
        <v>28</v>
      </c>
      <c r="AF40" s="37">
        <v>29</v>
      </c>
      <c r="AG40" s="2">
        <v>30</v>
      </c>
      <c r="AH40" s="3"/>
      <c r="AK40" s="47"/>
      <c r="AL40" s="23"/>
      <c r="AM40" s="24"/>
      <c r="AO40" s="126"/>
    </row>
    <row r="41" spans="2:41" ht="29.25" x14ac:dyDescent="0.4">
      <c r="D41" s="223" t="s">
        <v>5</v>
      </c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6"/>
      <c r="AH41" s="5"/>
      <c r="AK41" s="47"/>
      <c r="AL41" s="23"/>
      <c r="AM41" s="24"/>
      <c r="AO41" s="126"/>
    </row>
    <row r="42" spans="2:41" ht="30" thickBot="1" x14ac:dyDescent="0.45">
      <c r="D42" s="30"/>
      <c r="E42" s="31"/>
      <c r="F42" s="31"/>
      <c r="G42" s="31"/>
      <c r="H42" s="31"/>
      <c r="I42" s="38"/>
      <c r="J42" s="38"/>
      <c r="K42" s="31"/>
      <c r="L42" s="31"/>
      <c r="M42" s="87" t="str">
        <f>(D140)</f>
        <v>VA Individual Appointments</v>
      </c>
      <c r="N42" s="31"/>
      <c r="O42" s="31"/>
      <c r="P42" s="38"/>
      <c r="Q42" s="38"/>
      <c r="R42" s="31"/>
      <c r="S42" s="31"/>
      <c r="T42" s="31"/>
      <c r="U42" s="31"/>
      <c r="V42" s="31"/>
      <c r="W42" s="38"/>
      <c r="X42" s="38"/>
      <c r="Y42" s="31"/>
      <c r="Z42" s="31"/>
      <c r="AA42" s="31"/>
      <c r="AB42" s="31"/>
      <c r="AC42" s="31"/>
      <c r="AD42" s="38"/>
      <c r="AE42" s="38"/>
      <c r="AF42" s="31"/>
      <c r="AG42" s="1"/>
      <c r="AH42" s="5"/>
      <c r="AK42" s="47"/>
      <c r="AL42" s="23"/>
      <c r="AM42" s="24"/>
      <c r="AO42" s="126"/>
    </row>
    <row r="43" spans="2:41" ht="30" thickBot="1" x14ac:dyDescent="0.45">
      <c r="D43" s="32"/>
      <c r="E43" s="33"/>
      <c r="F43" s="33"/>
      <c r="G43" s="33"/>
      <c r="H43" s="33"/>
      <c r="I43" s="39"/>
      <c r="J43" s="39"/>
      <c r="K43" s="33"/>
      <c r="L43" s="33"/>
      <c r="M43" s="33"/>
      <c r="N43" s="33"/>
      <c r="O43" s="33"/>
      <c r="P43" s="39"/>
      <c r="Q43" s="39"/>
      <c r="R43" s="33"/>
      <c r="S43" s="33"/>
      <c r="T43" s="33"/>
      <c r="U43" s="33"/>
      <c r="V43" s="143" t="s">
        <v>91</v>
      </c>
      <c r="W43" s="127" t="s">
        <v>43</v>
      </c>
      <c r="X43" s="39"/>
      <c r="Y43" s="33"/>
      <c r="Z43" s="33"/>
      <c r="AA43" s="33"/>
      <c r="AB43" s="33"/>
      <c r="AC43" s="33"/>
      <c r="AD43" s="39"/>
      <c r="AE43" s="39"/>
      <c r="AF43" s="33"/>
      <c r="AG43" s="7"/>
      <c r="AH43" s="8"/>
      <c r="AK43" s="47"/>
      <c r="AL43" s="23"/>
      <c r="AM43" s="29">
        <v>0</v>
      </c>
      <c r="AO43" s="126">
        <f>SUM(AO37-AM43)</f>
        <v>18</v>
      </c>
    </row>
    <row r="44" spans="2:41" ht="30" thickBot="1" x14ac:dyDescent="0.45"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6"/>
      <c r="AJ44" s="106"/>
      <c r="AK44" s="107"/>
      <c r="AL44" s="108"/>
      <c r="AM44" s="109"/>
      <c r="AO44" s="126"/>
    </row>
    <row r="45" spans="2:41" ht="29.25" x14ac:dyDescent="0.4">
      <c r="B45" s="244" t="s">
        <v>39</v>
      </c>
      <c r="C45" s="244"/>
      <c r="D45" s="194">
        <v>46204</v>
      </c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6"/>
      <c r="AJ45" s="165" t="s">
        <v>53</v>
      </c>
      <c r="AK45" s="47">
        <f>SUM(AK39+2.5-AM43)</f>
        <v>72</v>
      </c>
      <c r="AL45" s="23"/>
      <c r="AM45" s="24"/>
      <c r="AO45" s="126"/>
    </row>
    <row r="46" spans="2:41" ht="29.25" x14ac:dyDescent="0.4">
      <c r="B46" s="244"/>
      <c r="C46" s="244"/>
      <c r="D46" s="4">
        <v>1</v>
      </c>
      <c r="E46" s="1">
        <v>2</v>
      </c>
      <c r="F46" s="1">
        <v>3</v>
      </c>
      <c r="G46" s="10">
        <v>4</v>
      </c>
      <c r="H46" s="10">
        <v>5</v>
      </c>
      <c r="I46" s="1">
        <v>6</v>
      </c>
      <c r="J46" s="1">
        <v>7</v>
      </c>
      <c r="K46" s="1">
        <v>8</v>
      </c>
      <c r="L46" s="1">
        <v>9</v>
      </c>
      <c r="M46" s="1">
        <v>10</v>
      </c>
      <c r="N46" s="10">
        <v>11</v>
      </c>
      <c r="O46" s="10">
        <v>12</v>
      </c>
      <c r="P46" s="1">
        <v>13</v>
      </c>
      <c r="Q46" s="1">
        <v>14</v>
      </c>
      <c r="R46" s="1">
        <v>15</v>
      </c>
      <c r="S46" s="1">
        <v>16</v>
      </c>
      <c r="T46" s="1">
        <v>17</v>
      </c>
      <c r="U46" s="10">
        <v>18</v>
      </c>
      <c r="V46" s="10">
        <v>19</v>
      </c>
      <c r="W46" s="1">
        <v>20</v>
      </c>
      <c r="X46" s="1">
        <v>21</v>
      </c>
      <c r="Y46" s="1">
        <v>22</v>
      </c>
      <c r="Z46" s="1">
        <v>23</v>
      </c>
      <c r="AA46" s="1">
        <v>24</v>
      </c>
      <c r="AB46" s="10">
        <v>25</v>
      </c>
      <c r="AC46" s="10">
        <v>26</v>
      </c>
      <c r="AD46" s="1">
        <v>27</v>
      </c>
      <c r="AE46" s="1">
        <v>28</v>
      </c>
      <c r="AF46" s="1">
        <v>29</v>
      </c>
      <c r="AG46" s="1">
        <v>30</v>
      </c>
      <c r="AH46" s="5">
        <v>31</v>
      </c>
      <c r="AK46" s="47"/>
      <c r="AL46" s="23"/>
      <c r="AM46" s="24"/>
      <c r="AO46" s="126"/>
    </row>
    <row r="47" spans="2:41" ht="30" thickBot="1" x14ac:dyDescent="0.45">
      <c r="B47" s="244"/>
      <c r="C47" s="244"/>
      <c r="D47" s="223" t="s">
        <v>140</v>
      </c>
      <c r="E47" s="224"/>
      <c r="F47" s="224"/>
      <c r="G47" s="10"/>
      <c r="H47" s="10"/>
      <c r="I47" s="224" t="s">
        <v>141</v>
      </c>
      <c r="J47" s="224"/>
      <c r="K47" s="224"/>
      <c r="L47" s="224"/>
      <c r="M47" s="224"/>
      <c r="N47" s="10"/>
      <c r="O47" s="10"/>
      <c r="P47" s="66" t="s">
        <v>109</v>
      </c>
      <c r="Q47" s="336" t="s">
        <v>143</v>
      </c>
      <c r="R47" s="337"/>
      <c r="S47" s="337"/>
      <c r="T47" s="338"/>
      <c r="U47" s="227" t="s">
        <v>181</v>
      </c>
      <c r="V47" s="228"/>
      <c r="W47" s="228"/>
      <c r="X47" s="228"/>
      <c r="Y47" s="228"/>
      <c r="Z47" s="228"/>
      <c r="AA47" s="228"/>
      <c r="AB47" s="332"/>
      <c r="AC47" s="10"/>
      <c r="AD47" s="233" t="s">
        <v>140</v>
      </c>
      <c r="AE47" s="224"/>
      <c r="AF47" s="224"/>
      <c r="AG47" s="259" t="str">
        <f>(D136)</f>
        <v>Career &amp; Credential Exploration 2 Day Seminar</v>
      </c>
      <c r="AH47" s="260"/>
      <c r="AK47" s="47"/>
      <c r="AL47" s="23"/>
      <c r="AM47" s="24"/>
      <c r="AO47" s="126"/>
    </row>
    <row r="48" spans="2:41" ht="30" thickBot="1" x14ac:dyDescent="0.45">
      <c r="B48" s="244"/>
      <c r="C48" s="244"/>
      <c r="D48" s="4"/>
      <c r="E48" s="1"/>
      <c r="F48" s="1"/>
      <c r="G48" s="10"/>
      <c r="H48" s="10"/>
      <c r="I48" s="1"/>
      <c r="J48" s="90" t="str">
        <f>(D133)</f>
        <v>Pre Separation Brief</v>
      </c>
      <c r="K48" s="1"/>
      <c r="L48" s="1"/>
      <c r="M48" s="1"/>
      <c r="N48" s="10"/>
      <c r="O48" s="10"/>
      <c r="P48" s="245" t="str">
        <f>(D134)</f>
        <v>Three-Day Transition Workshop</v>
      </c>
      <c r="Q48" s="246"/>
      <c r="R48" s="247"/>
      <c r="S48" s="248" t="str">
        <f>(D137)</f>
        <v>Employment 2 Day Seminar</v>
      </c>
      <c r="T48" s="249"/>
      <c r="U48" s="10"/>
      <c r="V48" s="10"/>
      <c r="W48" s="250" t="str">
        <f>(D135)</f>
        <v>Entrepreneurship 2-Day Seminar</v>
      </c>
      <c r="X48" s="251"/>
      <c r="Y48" s="1"/>
      <c r="Z48" s="1"/>
      <c r="AA48" s="1"/>
      <c r="AB48" s="10"/>
      <c r="AC48" s="10"/>
      <c r="AD48" s="1"/>
      <c r="AE48" s="90" t="str">
        <f>(D133)</f>
        <v>Pre Separation Brief</v>
      </c>
      <c r="AF48" s="1"/>
      <c r="AG48" s="1"/>
      <c r="AH48" s="5"/>
      <c r="AK48" s="47"/>
      <c r="AL48" s="23"/>
      <c r="AM48" s="24"/>
      <c r="AO48" s="126"/>
    </row>
    <row r="49" spans="2:94" ht="30" thickBot="1" x14ac:dyDescent="0.45">
      <c r="B49" s="244"/>
      <c r="C49" s="244"/>
      <c r="D49" s="6"/>
      <c r="E49" s="7"/>
      <c r="F49" s="22" t="s">
        <v>3</v>
      </c>
      <c r="G49" s="11"/>
      <c r="H49" s="11"/>
      <c r="I49" s="7"/>
      <c r="J49" s="7"/>
      <c r="K49" s="7"/>
      <c r="L49" s="7"/>
      <c r="M49" s="7"/>
      <c r="N49" s="11"/>
      <c r="O49" s="11"/>
      <c r="P49" s="7"/>
      <c r="Q49" s="7"/>
      <c r="R49" s="7"/>
      <c r="S49" s="76"/>
      <c r="T49" s="77"/>
      <c r="U49" s="11"/>
      <c r="V49" s="11"/>
      <c r="W49" s="7"/>
      <c r="X49" s="7"/>
      <c r="Y49" s="7"/>
      <c r="Z49" s="7"/>
      <c r="AA49" s="7"/>
      <c r="AB49" s="11"/>
      <c r="AC49" s="11"/>
      <c r="AD49" s="161"/>
      <c r="AE49" s="7"/>
      <c r="AF49" s="7"/>
      <c r="AG49" s="7"/>
      <c r="AH49" s="7"/>
      <c r="AK49" s="47"/>
      <c r="AL49" s="23"/>
      <c r="AM49" s="29">
        <v>8</v>
      </c>
      <c r="AO49" s="126">
        <f>SUM(AO43-AM49)</f>
        <v>10</v>
      </c>
    </row>
    <row r="50" spans="2:94" ht="30" thickBot="1" x14ac:dyDescent="0.45">
      <c r="B50" s="244"/>
      <c r="C50" s="244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7"/>
      <c r="AO50" s="126"/>
    </row>
    <row r="51" spans="2:94" ht="29.25" x14ac:dyDescent="0.4">
      <c r="B51" s="244"/>
      <c r="C51" s="244"/>
      <c r="D51" s="194">
        <v>46235</v>
      </c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6"/>
      <c r="AJ51" s="165" t="s">
        <v>54</v>
      </c>
      <c r="AK51" s="47">
        <f>SUM(AK45+2.5-AM49)</f>
        <v>66.5</v>
      </c>
      <c r="AL51" s="23"/>
      <c r="AM51" s="24"/>
      <c r="AO51" s="126"/>
    </row>
    <row r="52" spans="2:94" ht="30" thickBot="1" x14ac:dyDescent="0.45">
      <c r="B52" s="244"/>
      <c r="C52" s="244"/>
      <c r="D52" s="12">
        <v>1</v>
      </c>
      <c r="E52" s="10">
        <v>2</v>
      </c>
      <c r="F52" s="1">
        <v>3</v>
      </c>
      <c r="G52" s="1">
        <v>4</v>
      </c>
      <c r="H52" s="1">
        <v>5</v>
      </c>
      <c r="I52" s="1">
        <v>6</v>
      </c>
      <c r="J52" s="1">
        <v>7</v>
      </c>
      <c r="K52" s="10">
        <v>8</v>
      </c>
      <c r="L52" s="10">
        <v>9</v>
      </c>
      <c r="M52" s="1">
        <v>10</v>
      </c>
      <c r="N52" s="1">
        <v>11</v>
      </c>
      <c r="O52" s="1">
        <v>12</v>
      </c>
      <c r="P52" s="1">
        <v>13</v>
      </c>
      <c r="Q52" s="1">
        <v>14</v>
      </c>
      <c r="R52" s="10">
        <v>15</v>
      </c>
      <c r="S52" s="10">
        <v>16</v>
      </c>
      <c r="T52" s="1">
        <v>17</v>
      </c>
      <c r="U52" s="1">
        <v>18</v>
      </c>
      <c r="V52" s="1">
        <v>19</v>
      </c>
      <c r="W52" s="1">
        <v>20</v>
      </c>
      <c r="X52" s="1">
        <v>21</v>
      </c>
      <c r="Y52" s="10">
        <v>22</v>
      </c>
      <c r="Z52" s="10">
        <v>23</v>
      </c>
      <c r="AA52" s="1">
        <v>24</v>
      </c>
      <c r="AB52" s="1">
        <v>25</v>
      </c>
      <c r="AC52" s="1">
        <v>26</v>
      </c>
      <c r="AD52" s="1">
        <v>27</v>
      </c>
      <c r="AE52" s="1">
        <v>28</v>
      </c>
      <c r="AF52" s="10">
        <v>29</v>
      </c>
      <c r="AG52" s="10">
        <v>30</v>
      </c>
      <c r="AH52" s="5">
        <v>31</v>
      </c>
      <c r="AI52" s="56"/>
      <c r="AJ52" s="56"/>
      <c r="AK52" s="47"/>
      <c r="AL52" s="23"/>
      <c r="AM52" s="24"/>
      <c r="AO52" s="126"/>
    </row>
    <row r="53" spans="2:94" ht="30" thickBot="1" x14ac:dyDescent="0.45">
      <c r="B53" s="244"/>
      <c r="C53" s="244"/>
      <c r="D53" s="12"/>
      <c r="E53" s="10"/>
      <c r="F53" s="170" t="s">
        <v>144</v>
      </c>
      <c r="G53" s="90" t="str">
        <f>(D133)</f>
        <v>Pre Separation Brief</v>
      </c>
      <c r="H53" s="261" t="s">
        <v>140</v>
      </c>
      <c r="I53" s="201"/>
      <c r="J53" s="202"/>
      <c r="K53" s="10"/>
      <c r="L53" s="10"/>
      <c r="M53" s="201" t="s">
        <v>140</v>
      </c>
      <c r="N53" s="201"/>
      <c r="O53" s="201"/>
      <c r="P53" s="253" t="str">
        <f>(D138)</f>
        <v>Education  2 Day Seminar</v>
      </c>
      <c r="Q53" s="254"/>
      <c r="R53" s="10"/>
      <c r="S53" s="10"/>
      <c r="T53" s="255" t="str">
        <f>(D134)</f>
        <v>Three-Day Transition Workshop</v>
      </c>
      <c r="U53" s="256"/>
      <c r="V53" s="256"/>
      <c r="W53" s="257" t="str">
        <f>(D137)</f>
        <v>Employment 2 Day Seminar</v>
      </c>
      <c r="X53" s="258"/>
      <c r="Y53" s="10"/>
      <c r="Z53" s="10"/>
      <c r="AA53" s="201" t="s">
        <v>141</v>
      </c>
      <c r="AB53" s="201"/>
      <c r="AC53" s="201"/>
      <c r="AD53" s="201"/>
      <c r="AE53" s="201"/>
      <c r="AF53" s="10"/>
      <c r="AG53" s="10"/>
      <c r="AH53" s="171" t="s">
        <v>142</v>
      </c>
      <c r="AI53" s="165">
        <v>14</v>
      </c>
      <c r="AK53" s="47"/>
      <c r="AL53" s="23"/>
      <c r="AM53" s="24"/>
      <c r="AO53" s="126"/>
    </row>
    <row r="54" spans="2:94" ht="30" thickBot="1" x14ac:dyDescent="0.45">
      <c r="B54" s="244"/>
      <c r="C54" s="244"/>
      <c r="D54" s="12"/>
      <c r="E54" s="10"/>
      <c r="F54" s="1"/>
      <c r="G54" s="170" t="s">
        <v>144</v>
      </c>
      <c r="H54" s="1"/>
      <c r="I54" s="1"/>
      <c r="J54" s="1"/>
      <c r="K54" s="10"/>
      <c r="L54" s="10"/>
      <c r="M54" s="1"/>
      <c r="N54" s="90" t="str">
        <f>(D133)</f>
        <v>Pre Separation Brief</v>
      </c>
      <c r="O54" s="1"/>
      <c r="P54" s="1"/>
      <c r="Q54" s="1"/>
      <c r="R54" s="10"/>
      <c r="S54" s="75"/>
      <c r="T54" s="1"/>
      <c r="U54" s="1"/>
      <c r="V54" s="1"/>
      <c r="W54" s="1"/>
      <c r="X54" s="1"/>
      <c r="Y54" s="74"/>
      <c r="Z54" s="10"/>
      <c r="AA54" s="1"/>
      <c r="AB54" s="1"/>
      <c r="AC54" s="1"/>
      <c r="AD54" s="1"/>
      <c r="AE54" s="1"/>
      <c r="AF54" s="10"/>
      <c r="AG54" s="10"/>
      <c r="AH54" s="5"/>
      <c r="AK54" s="47"/>
      <c r="AL54" s="23"/>
      <c r="AM54" s="24"/>
      <c r="AO54" s="126"/>
    </row>
    <row r="55" spans="2:94" ht="30" thickBot="1" x14ac:dyDescent="0.45">
      <c r="B55" s="244"/>
      <c r="C55" s="244"/>
      <c r="D55" s="13"/>
      <c r="E55" s="11"/>
      <c r="F55" s="7"/>
      <c r="G55" s="7"/>
      <c r="H55" s="7"/>
      <c r="I55" s="7"/>
      <c r="J55" s="7"/>
      <c r="K55" s="11"/>
      <c r="L55" s="301" t="s">
        <v>106</v>
      </c>
      <c r="M55" s="302"/>
      <c r="N55" s="302"/>
      <c r="O55" s="302"/>
      <c r="P55" s="302"/>
      <c r="Q55" s="302"/>
      <c r="R55" s="303"/>
      <c r="S55" s="11"/>
      <c r="T55" s="73"/>
      <c r="U55" s="73"/>
      <c r="V55" s="73"/>
      <c r="W55" s="73"/>
      <c r="X55" s="73"/>
      <c r="Y55" s="11"/>
      <c r="Z55" s="11"/>
      <c r="AA55" s="7"/>
      <c r="AB55" s="7"/>
      <c r="AC55" s="7"/>
      <c r="AD55" s="7"/>
      <c r="AE55" s="7"/>
      <c r="AF55" s="11"/>
      <c r="AG55" s="11"/>
      <c r="AH55" s="8"/>
      <c r="AK55" s="47"/>
      <c r="AL55" s="23"/>
      <c r="AM55" s="29">
        <v>0</v>
      </c>
      <c r="AO55" s="126">
        <f>SUM(AO49-AM55)</f>
        <v>10</v>
      </c>
    </row>
    <row r="56" spans="2:94" ht="30" thickBot="1" x14ac:dyDescent="0.45">
      <c r="B56" s="244"/>
      <c r="C56" s="244"/>
      <c r="AK56" s="47"/>
      <c r="AL56" s="23"/>
      <c r="AM56" s="24"/>
      <c r="AO56" s="126"/>
    </row>
    <row r="57" spans="2:94" ht="29.25" x14ac:dyDescent="0.4">
      <c r="B57" s="244"/>
      <c r="C57" s="244"/>
      <c r="D57" s="194">
        <v>46266</v>
      </c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6"/>
      <c r="AJ57" s="165" t="s">
        <v>55</v>
      </c>
      <c r="AK57" s="47">
        <f>SUM(AK51+2.5-AM55)</f>
        <v>69</v>
      </c>
      <c r="AL57" s="23"/>
      <c r="AM57" s="24"/>
      <c r="AO57" s="126"/>
    </row>
    <row r="58" spans="2:94" ht="29.25" x14ac:dyDescent="0.4">
      <c r="B58" s="244"/>
      <c r="C58" s="244"/>
      <c r="D58" s="4">
        <v>1</v>
      </c>
      <c r="E58" s="1">
        <v>2</v>
      </c>
      <c r="F58" s="1">
        <v>3</v>
      </c>
      <c r="G58" s="1">
        <v>4</v>
      </c>
      <c r="H58" s="10">
        <v>5</v>
      </c>
      <c r="I58" s="10">
        <v>6</v>
      </c>
      <c r="J58" s="1">
        <v>7</v>
      </c>
      <c r="K58" s="1">
        <v>8</v>
      </c>
      <c r="L58" s="1">
        <v>9</v>
      </c>
      <c r="M58" s="1">
        <v>10</v>
      </c>
      <c r="N58" s="1">
        <v>11</v>
      </c>
      <c r="O58" s="10">
        <v>12</v>
      </c>
      <c r="P58" s="10">
        <v>13</v>
      </c>
      <c r="Q58" s="1">
        <v>14</v>
      </c>
      <c r="R58" s="1">
        <v>15</v>
      </c>
      <c r="S58" s="1">
        <v>16</v>
      </c>
      <c r="T58" s="1">
        <v>17</v>
      </c>
      <c r="U58" s="1">
        <v>18</v>
      </c>
      <c r="V58" s="10">
        <v>19</v>
      </c>
      <c r="W58" s="10">
        <v>20</v>
      </c>
      <c r="X58" s="1">
        <v>21</v>
      </c>
      <c r="Y58" s="1">
        <v>22</v>
      </c>
      <c r="Z58" s="1">
        <v>23</v>
      </c>
      <c r="AA58" s="1">
        <v>24</v>
      </c>
      <c r="AB58" s="1">
        <v>25</v>
      </c>
      <c r="AC58" s="10">
        <v>26</v>
      </c>
      <c r="AD58" s="10">
        <v>27</v>
      </c>
      <c r="AE58" s="1">
        <v>28</v>
      </c>
      <c r="AF58" s="1">
        <v>29</v>
      </c>
      <c r="AG58" s="1">
        <v>30</v>
      </c>
      <c r="AH58" s="5"/>
      <c r="AK58" s="47"/>
      <c r="AL58" s="23"/>
      <c r="AM58" s="24"/>
      <c r="AO58" s="126"/>
    </row>
    <row r="59" spans="2:94" ht="30" thickBot="1" x14ac:dyDescent="0.45">
      <c r="B59" s="244"/>
      <c r="C59" s="244"/>
      <c r="D59" s="330" t="s">
        <v>143</v>
      </c>
      <c r="E59" s="330"/>
      <c r="F59" s="330"/>
      <c r="G59" s="330"/>
      <c r="H59" s="80"/>
      <c r="I59" s="80"/>
      <c r="J59" s="142" t="s">
        <v>83</v>
      </c>
      <c r="K59" s="95" t="str">
        <f>(D132)</f>
        <v>Initial Individual Counseling</v>
      </c>
      <c r="L59" s="264" t="s">
        <v>140</v>
      </c>
      <c r="M59" s="265"/>
      <c r="N59" s="265"/>
      <c r="O59" s="82"/>
      <c r="P59" s="82"/>
      <c r="Q59" s="263" t="s">
        <v>135</v>
      </c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309"/>
      <c r="AH59" s="5"/>
      <c r="AI59" s="165">
        <v>8</v>
      </c>
      <c r="AK59" s="47"/>
      <c r="AL59" s="23"/>
      <c r="AM59" s="24"/>
      <c r="AO59" s="126"/>
    </row>
    <row r="60" spans="2:94" ht="30" thickBot="1" x14ac:dyDescent="0.45">
      <c r="B60" s="244"/>
      <c r="C60" s="244"/>
      <c r="D60" s="78"/>
      <c r="E60" s="78"/>
      <c r="F60" s="78"/>
      <c r="G60" s="78"/>
      <c r="H60" s="80"/>
      <c r="I60" s="80"/>
      <c r="J60" s="78"/>
      <c r="K60" s="170" t="s">
        <v>144</v>
      </c>
      <c r="L60" s="96"/>
      <c r="M60" s="99"/>
      <c r="N60" s="99"/>
      <c r="O60" s="97"/>
      <c r="P60" s="85"/>
      <c r="Q60" s="288" t="str">
        <f>(D134)</f>
        <v>Three-Day Transition Workshop</v>
      </c>
      <c r="R60" s="289"/>
      <c r="S60" s="290"/>
      <c r="T60" s="257" t="str">
        <f>(D137)</f>
        <v>Employment 2 Day Seminar</v>
      </c>
      <c r="U60" s="258"/>
      <c r="V60" s="85"/>
      <c r="W60" s="85"/>
      <c r="X60" s="84"/>
      <c r="Y60" s="84"/>
      <c r="Z60" s="84"/>
      <c r="AA60" s="84"/>
      <c r="AB60" s="84"/>
      <c r="AC60" s="85"/>
      <c r="AD60" s="85"/>
      <c r="AE60" s="84"/>
      <c r="AF60" s="95" t="str">
        <f>(D132)</f>
        <v>Initial Individual Counseling</v>
      </c>
      <c r="AG60" s="84"/>
      <c r="AH60" s="147"/>
      <c r="AK60" s="47"/>
      <c r="AL60" s="23"/>
      <c r="AM60" s="27"/>
      <c r="AO60" s="126"/>
    </row>
    <row r="61" spans="2:94" ht="30" thickBot="1" x14ac:dyDescent="0.45">
      <c r="B61" s="244"/>
      <c r="C61" s="244"/>
      <c r="D61" s="72"/>
      <c r="E61" s="73"/>
      <c r="F61" s="73"/>
      <c r="G61" s="73"/>
      <c r="H61" s="79"/>
      <c r="I61" s="79"/>
      <c r="J61" s="78"/>
      <c r="K61" s="81"/>
      <c r="L61" s="81"/>
      <c r="M61" s="98"/>
      <c r="N61" s="98"/>
      <c r="O61" s="82"/>
      <c r="P61" s="82"/>
      <c r="Q61" s="81"/>
      <c r="R61" s="81"/>
      <c r="S61" s="73"/>
      <c r="T61" s="81"/>
      <c r="U61" s="81"/>
      <c r="V61" s="82"/>
      <c r="W61" s="82"/>
      <c r="X61" s="81"/>
      <c r="Y61" s="81"/>
      <c r="Z61" s="81"/>
      <c r="AA61" s="81"/>
      <c r="AB61" s="81"/>
      <c r="AC61" s="82"/>
      <c r="AD61" s="82"/>
      <c r="AE61" s="81"/>
      <c r="AF61" s="81"/>
      <c r="AG61" s="81"/>
      <c r="AH61" s="83"/>
      <c r="AK61" s="47"/>
      <c r="AL61" s="26"/>
      <c r="AM61" s="29">
        <v>17</v>
      </c>
      <c r="AO61" s="126">
        <f>SUM(AO55-AM61)</f>
        <v>-7</v>
      </c>
    </row>
    <row r="62" spans="2:94" ht="15.75" thickBot="1" x14ac:dyDescent="0.25">
      <c r="B62" s="244"/>
      <c r="C62" s="244"/>
      <c r="AK62" s="47"/>
      <c r="AL62" s="23"/>
      <c r="AM62" s="28"/>
    </row>
    <row r="63" spans="2:94" x14ac:dyDescent="0.2">
      <c r="B63" s="244"/>
      <c r="C63" s="244"/>
      <c r="D63" s="194">
        <v>46296</v>
      </c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6"/>
      <c r="AJ63" s="165" t="s">
        <v>56</v>
      </c>
      <c r="AK63" s="47">
        <f>SUM(AK57+2.5-AM61)</f>
        <v>54.5</v>
      </c>
      <c r="AL63" s="23"/>
      <c r="AM63" s="24"/>
    </row>
    <row r="64" spans="2:94" x14ac:dyDescent="0.2">
      <c r="B64" s="244"/>
      <c r="C64" s="244"/>
      <c r="D64" s="4">
        <v>1</v>
      </c>
      <c r="E64" s="1">
        <v>2</v>
      </c>
      <c r="F64" s="10">
        <v>3</v>
      </c>
      <c r="G64" s="10">
        <v>4</v>
      </c>
      <c r="H64" s="1">
        <v>5</v>
      </c>
      <c r="I64" s="1">
        <v>6</v>
      </c>
      <c r="J64" s="1">
        <v>7</v>
      </c>
      <c r="K64" s="1">
        <v>8</v>
      </c>
      <c r="L64" s="1">
        <v>9</v>
      </c>
      <c r="M64" s="10">
        <v>10</v>
      </c>
      <c r="N64" s="10">
        <v>11</v>
      </c>
      <c r="O64" s="1">
        <v>12</v>
      </c>
      <c r="P64" s="1">
        <v>13</v>
      </c>
      <c r="Q64" s="1">
        <v>14</v>
      </c>
      <c r="R64" s="1">
        <v>15</v>
      </c>
      <c r="S64" s="1">
        <v>16</v>
      </c>
      <c r="T64" s="10">
        <v>17</v>
      </c>
      <c r="U64" s="10">
        <v>18</v>
      </c>
      <c r="V64" s="1">
        <v>19</v>
      </c>
      <c r="W64" s="1">
        <v>20</v>
      </c>
      <c r="X64" s="1">
        <v>21</v>
      </c>
      <c r="Y64" s="1">
        <v>22</v>
      </c>
      <c r="Z64" s="1">
        <v>23</v>
      </c>
      <c r="AA64" s="10">
        <v>24</v>
      </c>
      <c r="AB64" s="10">
        <v>25</v>
      </c>
      <c r="AC64" s="1">
        <v>26</v>
      </c>
      <c r="AD64" s="1">
        <v>27</v>
      </c>
      <c r="AE64" s="1">
        <v>28</v>
      </c>
      <c r="AF64" s="1">
        <v>29</v>
      </c>
      <c r="AG64" s="1">
        <v>30</v>
      </c>
      <c r="AH64" s="14">
        <v>31</v>
      </c>
      <c r="AI64" s="56"/>
      <c r="AJ64" s="56"/>
      <c r="AK64" s="47"/>
      <c r="AL64" s="23"/>
      <c r="AM64" s="24"/>
      <c r="BL64" s="262" t="s">
        <v>0</v>
      </c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</row>
    <row r="65" spans="1:94" ht="21.75" thickBot="1" x14ac:dyDescent="0.35">
      <c r="B65" s="244"/>
      <c r="C65" s="244"/>
      <c r="D65" s="201" t="s">
        <v>139</v>
      </c>
      <c r="E65" s="202"/>
      <c r="F65" s="10"/>
      <c r="G65" s="339" t="s">
        <v>137</v>
      </c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  <c r="AC65" s="339"/>
      <c r="AD65" s="339"/>
      <c r="AE65" s="339"/>
      <c r="AF65" s="339"/>
      <c r="AG65" s="339"/>
      <c r="AH65" s="340"/>
      <c r="AI65" s="56">
        <v>2</v>
      </c>
      <c r="AJ65" s="56"/>
      <c r="AK65" s="47"/>
      <c r="AL65" s="23"/>
      <c r="AM65" s="24"/>
      <c r="BL65">
        <v>1</v>
      </c>
      <c r="BM65">
        <v>2</v>
      </c>
      <c r="BN65">
        <v>3</v>
      </c>
      <c r="BO65">
        <v>4</v>
      </c>
      <c r="BP65">
        <v>5</v>
      </c>
      <c r="BQ65">
        <v>6</v>
      </c>
      <c r="BR65">
        <v>7</v>
      </c>
      <c r="BS65">
        <v>8</v>
      </c>
      <c r="BT65">
        <v>9</v>
      </c>
      <c r="BU65">
        <v>10</v>
      </c>
      <c r="BV65">
        <v>11</v>
      </c>
      <c r="BW65">
        <v>12</v>
      </c>
      <c r="BX65">
        <v>13</v>
      </c>
      <c r="BY65">
        <v>14</v>
      </c>
      <c r="BZ65">
        <v>15</v>
      </c>
      <c r="CA65">
        <v>16</v>
      </c>
      <c r="CB65">
        <v>17</v>
      </c>
      <c r="CC65">
        <v>18</v>
      </c>
      <c r="CD65">
        <v>19</v>
      </c>
      <c r="CE65">
        <v>20</v>
      </c>
      <c r="CF65">
        <v>21</v>
      </c>
      <c r="CG65">
        <v>22</v>
      </c>
      <c r="CH65">
        <v>23</v>
      </c>
      <c r="CI65">
        <v>24</v>
      </c>
      <c r="CJ65">
        <v>25</v>
      </c>
      <c r="CK65">
        <v>26</v>
      </c>
      <c r="CL65">
        <v>27</v>
      </c>
      <c r="CM65">
        <v>28</v>
      </c>
      <c r="CN65">
        <v>29</v>
      </c>
      <c r="CO65">
        <v>30</v>
      </c>
      <c r="CP65">
        <v>31</v>
      </c>
    </row>
    <row r="66" spans="1:94" ht="15.75" thickBot="1" x14ac:dyDescent="0.25">
      <c r="B66" s="244"/>
      <c r="C66" s="244"/>
      <c r="D66" s="4"/>
      <c r="E66" s="1"/>
      <c r="F66" s="10"/>
      <c r="G66" s="10"/>
      <c r="H66" s="250" t="str">
        <f>(D135)</f>
        <v>Entrepreneurship 2-Day Seminar</v>
      </c>
      <c r="I66" s="251"/>
      <c r="J66" s="1"/>
      <c r="K66" s="1"/>
      <c r="L66" s="1"/>
      <c r="M66" s="10"/>
      <c r="N66" s="10"/>
      <c r="O66" s="1"/>
      <c r="P66" s="1"/>
      <c r="Q66" s="1"/>
      <c r="R66" s="1"/>
      <c r="S66" s="1"/>
      <c r="T66" s="10"/>
      <c r="U66" s="10"/>
      <c r="V66" s="288" t="str">
        <f>(D134)</f>
        <v>Three-Day Transition Workshop</v>
      </c>
      <c r="W66" s="289"/>
      <c r="X66" s="290"/>
      <c r="Y66" s="257" t="str">
        <f>(D137)</f>
        <v>Employment 2 Day Seminar</v>
      </c>
      <c r="Z66" s="258"/>
      <c r="AA66" s="10"/>
      <c r="AB66" s="10"/>
      <c r="AC66" s="1"/>
      <c r="AD66" s="93" t="str">
        <f>(D133)</f>
        <v>Pre Separation Brief</v>
      </c>
      <c r="AE66" s="1"/>
      <c r="AF66" s="94" t="str">
        <f>(D138)</f>
        <v>Education  2 Day Seminar</v>
      </c>
      <c r="AG66" s="1"/>
      <c r="AH66" s="14"/>
      <c r="AK66" s="47"/>
      <c r="AL66" s="23"/>
      <c r="AM66" s="27"/>
    </row>
    <row r="67" spans="1:94" ht="15.75" thickBot="1" x14ac:dyDescent="0.25">
      <c r="B67" s="244"/>
      <c r="C67" s="244"/>
      <c r="D67" s="4"/>
      <c r="E67" s="1"/>
      <c r="F67" s="10"/>
      <c r="G67" s="10"/>
      <c r="H67" s="1"/>
      <c r="I67" s="1"/>
      <c r="J67" s="1"/>
      <c r="K67" s="1"/>
      <c r="L67" s="70" t="s">
        <v>29</v>
      </c>
      <c r="M67" s="10"/>
      <c r="N67" s="10"/>
      <c r="O67" s="143" t="s">
        <v>84</v>
      </c>
      <c r="P67" s="1"/>
      <c r="Q67" s="1"/>
      <c r="R67" s="1"/>
      <c r="S67" s="1"/>
      <c r="T67" s="10"/>
      <c r="U67" s="10"/>
      <c r="V67" s="1"/>
      <c r="W67" s="1"/>
      <c r="X67" s="73"/>
      <c r="Y67" s="1"/>
      <c r="Z67" s="1" t="s">
        <v>110</v>
      </c>
      <c r="AA67" s="10"/>
      <c r="AB67" s="10"/>
      <c r="AC67" s="1"/>
      <c r="AD67" s="1"/>
      <c r="AE67" s="1"/>
      <c r="AF67" s="1"/>
      <c r="AG67" s="1"/>
      <c r="AH67" s="15"/>
      <c r="AK67" s="47"/>
      <c r="AL67" s="26"/>
      <c r="AM67" s="29">
        <v>0</v>
      </c>
    </row>
    <row r="68" spans="1:94" ht="15.75" thickBot="1" x14ac:dyDescent="0.25">
      <c r="B68" s="244"/>
      <c r="C68" s="24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K68" s="47"/>
      <c r="AL68" s="23"/>
      <c r="AM68" s="28"/>
    </row>
    <row r="69" spans="1:94" ht="15.75" thickBot="1" x14ac:dyDescent="0.25">
      <c r="B69" s="244"/>
      <c r="C69" s="244"/>
      <c r="D69" s="190">
        <v>46327</v>
      </c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2"/>
      <c r="AG69" s="192"/>
      <c r="AH69" s="193"/>
      <c r="AJ69" s="165" t="s">
        <v>57</v>
      </c>
      <c r="AK69" s="47">
        <f>SUM(AK63+2.5-AM67)</f>
        <v>57</v>
      </c>
      <c r="AL69" s="23"/>
      <c r="AM69" s="24"/>
    </row>
    <row r="70" spans="1:94" x14ac:dyDescent="0.2">
      <c r="B70" s="244"/>
      <c r="C70" s="244"/>
      <c r="D70" s="120">
        <v>1</v>
      </c>
      <c r="E70" s="57">
        <v>2</v>
      </c>
      <c r="F70" s="57">
        <v>3</v>
      </c>
      <c r="G70" s="57">
        <v>4</v>
      </c>
      <c r="H70" s="57">
        <v>5</v>
      </c>
      <c r="I70" s="57">
        <v>6</v>
      </c>
      <c r="J70" s="58">
        <v>7</v>
      </c>
      <c r="K70" s="58">
        <v>8</v>
      </c>
      <c r="L70" s="57">
        <v>9</v>
      </c>
      <c r="M70" s="57">
        <v>10</v>
      </c>
      <c r="N70" s="57">
        <v>11</v>
      </c>
      <c r="O70" s="57">
        <v>12</v>
      </c>
      <c r="P70" s="57">
        <v>13</v>
      </c>
      <c r="Q70" s="58">
        <v>14</v>
      </c>
      <c r="R70" s="58">
        <v>15</v>
      </c>
      <c r="S70" s="57">
        <v>16</v>
      </c>
      <c r="T70" s="57">
        <v>17</v>
      </c>
      <c r="U70" s="57">
        <v>18</v>
      </c>
      <c r="V70" s="57">
        <v>19</v>
      </c>
      <c r="W70" s="57">
        <v>20</v>
      </c>
      <c r="X70" s="58">
        <v>21</v>
      </c>
      <c r="Y70" s="58">
        <v>22</v>
      </c>
      <c r="Z70" s="57">
        <v>23</v>
      </c>
      <c r="AA70" s="57">
        <v>24</v>
      </c>
      <c r="AB70" s="68">
        <v>25</v>
      </c>
      <c r="AC70" s="68">
        <v>26</v>
      </c>
      <c r="AD70" s="68">
        <v>27</v>
      </c>
      <c r="AE70" s="69">
        <v>28</v>
      </c>
      <c r="AF70" s="69">
        <v>29</v>
      </c>
      <c r="AG70" s="64">
        <v>30</v>
      </c>
      <c r="AH70" s="3"/>
      <c r="AI70" s="56"/>
      <c r="AJ70" s="56"/>
      <c r="AK70" s="47"/>
      <c r="AL70" s="23"/>
      <c r="AM70" s="24"/>
    </row>
    <row r="71" spans="1:94" ht="21" x14ac:dyDescent="0.3">
      <c r="A71" s="67"/>
      <c r="B71" s="244"/>
      <c r="C71" s="244"/>
      <c r="D71" s="341" t="s">
        <v>138</v>
      </c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172" t="s">
        <v>144</v>
      </c>
      <c r="AH71" s="5"/>
      <c r="AI71" s="165">
        <v>1</v>
      </c>
      <c r="AK71" s="47"/>
      <c r="AL71" s="23"/>
      <c r="AM71" s="24"/>
    </row>
    <row r="72" spans="1:94" ht="15.75" thickBot="1" x14ac:dyDescent="0.25">
      <c r="B72" s="244"/>
      <c r="C72" s="244"/>
      <c r="D72" s="121"/>
      <c r="E72" s="59"/>
      <c r="F72" s="59"/>
      <c r="G72" s="59"/>
      <c r="H72" s="59"/>
      <c r="I72" s="59"/>
      <c r="J72" s="60"/>
      <c r="K72" s="60"/>
      <c r="L72" s="59"/>
      <c r="M72" s="59"/>
      <c r="N72" s="59"/>
      <c r="O72" s="298" t="str">
        <f>(D136)</f>
        <v>Career &amp; Credential Exploration 2 Day Seminar</v>
      </c>
      <c r="P72" s="299"/>
      <c r="Q72" s="60"/>
      <c r="R72" s="60"/>
      <c r="S72" s="295" t="str">
        <f>(D134)</f>
        <v>Three-Day Transition Workshop</v>
      </c>
      <c r="T72" s="296"/>
      <c r="U72" s="297"/>
      <c r="V72" s="280" t="str">
        <f>(D137)</f>
        <v>Employment 2 Day Seminar</v>
      </c>
      <c r="W72" s="281"/>
      <c r="X72" s="60"/>
      <c r="Y72" s="60"/>
      <c r="Z72" s="282" t="s">
        <v>80</v>
      </c>
      <c r="AA72" s="283"/>
      <c r="AB72" s="283"/>
      <c r="AC72" s="283"/>
      <c r="AD72" s="300"/>
      <c r="AE72" s="60"/>
      <c r="AF72" s="60"/>
      <c r="AG72" s="1"/>
      <c r="AH72" s="5"/>
      <c r="AK72" s="47"/>
      <c r="AL72" s="23"/>
      <c r="AM72" s="27"/>
    </row>
    <row r="73" spans="1:94" ht="15.75" thickBot="1" x14ac:dyDescent="0.25">
      <c r="B73" s="244"/>
      <c r="C73" s="244"/>
      <c r="D73" s="13"/>
      <c r="E73" s="7"/>
      <c r="F73" s="92" t="str">
        <f>(D133)</f>
        <v>Pre Separation Brief</v>
      </c>
      <c r="G73" s="7"/>
      <c r="H73" s="7"/>
      <c r="I73" s="7"/>
      <c r="J73" s="11"/>
      <c r="K73" s="11"/>
      <c r="L73" s="7"/>
      <c r="M73" s="143" t="s">
        <v>111</v>
      </c>
      <c r="N73" s="143" t="s">
        <v>85</v>
      </c>
      <c r="O73" s="7"/>
      <c r="P73" s="7"/>
      <c r="Q73" s="11"/>
      <c r="R73" s="11"/>
      <c r="S73" s="7"/>
      <c r="T73" s="7"/>
      <c r="U73" s="73"/>
      <c r="V73" s="7"/>
      <c r="W73" s="7"/>
      <c r="X73" s="11"/>
      <c r="Y73" s="11"/>
      <c r="Z73" s="7"/>
      <c r="AA73" s="139" t="str">
        <f>(D133)</f>
        <v>Pre Separation Brief</v>
      </c>
      <c r="AB73" s="7"/>
      <c r="AC73" s="143" t="s">
        <v>2</v>
      </c>
      <c r="AD73" s="143"/>
      <c r="AE73" s="11"/>
      <c r="AF73" s="11"/>
      <c r="AG73" s="7"/>
      <c r="AH73" s="8"/>
      <c r="AK73" s="47"/>
      <c r="AL73" s="26"/>
      <c r="AM73" s="29">
        <v>0</v>
      </c>
    </row>
    <row r="74" spans="1:94" ht="15.75" thickBot="1" x14ac:dyDescent="0.25">
      <c r="B74" s="244"/>
      <c r="C74" s="24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K74" s="47"/>
      <c r="AL74" s="23"/>
      <c r="AM74" s="28"/>
    </row>
    <row r="75" spans="1:94" x14ac:dyDescent="0.2">
      <c r="B75" s="244"/>
      <c r="C75" s="244"/>
      <c r="D75" s="217">
        <v>46357</v>
      </c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9"/>
      <c r="AG75" s="219"/>
      <c r="AH75" s="220"/>
      <c r="AJ75" s="165" t="s">
        <v>58</v>
      </c>
      <c r="AK75" s="47">
        <f>SUM(AK69+2.5-AM73)</f>
        <v>59.5</v>
      </c>
      <c r="AL75" s="23"/>
      <c r="AM75" s="24"/>
    </row>
    <row r="76" spans="1:94" x14ac:dyDescent="0.2">
      <c r="B76" s="244"/>
      <c r="C76" s="244"/>
      <c r="D76" s="4">
        <v>1</v>
      </c>
      <c r="E76" s="1">
        <v>2</v>
      </c>
      <c r="F76" s="1">
        <v>3</v>
      </c>
      <c r="G76" s="1">
        <v>4</v>
      </c>
      <c r="H76" s="10">
        <v>5</v>
      </c>
      <c r="I76" s="10">
        <v>6</v>
      </c>
      <c r="J76" s="1">
        <v>7</v>
      </c>
      <c r="K76" s="1">
        <v>8</v>
      </c>
      <c r="L76" s="1">
        <v>9</v>
      </c>
      <c r="M76" s="1">
        <v>10</v>
      </c>
      <c r="N76" s="1">
        <v>11</v>
      </c>
      <c r="O76" s="10">
        <v>12</v>
      </c>
      <c r="P76" s="10">
        <v>13</v>
      </c>
      <c r="Q76" s="1">
        <v>14</v>
      </c>
      <c r="R76" s="1">
        <v>15</v>
      </c>
      <c r="S76" s="1">
        <v>16</v>
      </c>
      <c r="T76" s="1">
        <v>17</v>
      </c>
      <c r="U76" s="1">
        <v>18</v>
      </c>
      <c r="V76" s="10">
        <v>19</v>
      </c>
      <c r="W76" s="10">
        <v>20</v>
      </c>
      <c r="X76" s="1">
        <v>21</v>
      </c>
      <c r="Y76" s="1">
        <v>22</v>
      </c>
      <c r="Z76" s="1">
        <v>23</v>
      </c>
      <c r="AA76" s="1">
        <v>24</v>
      </c>
      <c r="AB76" s="1">
        <v>25</v>
      </c>
      <c r="AC76" s="10">
        <v>26</v>
      </c>
      <c r="AD76" s="10">
        <v>27</v>
      </c>
      <c r="AE76" s="1">
        <v>28</v>
      </c>
      <c r="AF76" s="1">
        <v>29</v>
      </c>
      <c r="AG76" s="1">
        <v>30</v>
      </c>
      <c r="AH76" s="1">
        <v>31</v>
      </c>
      <c r="AK76" s="47"/>
      <c r="AL76" s="23"/>
      <c r="AM76" s="24"/>
    </row>
    <row r="77" spans="1:94" ht="21.75" thickBot="1" x14ac:dyDescent="0.35">
      <c r="B77" s="244"/>
      <c r="C77" s="244"/>
      <c r="D77" s="320" t="s">
        <v>136</v>
      </c>
      <c r="E77" s="263"/>
      <c r="F77" s="263"/>
      <c r="G77" s="263"/>
      <c r="H77" s="263"/>
      <c r="I77" s="263"/>
      <c r="J77" s="263"/>
      <c r="K77" s="263"/>
      <c r="L77" s="263"/>
      <c r="M77" s="263"/>
      <c r="N77" s="263"/>
      <c r="O77" s="10"/>
      <c r="P77" s="10"/>
      <c r="Q77" s="201" t="s">
        <v>141</v>
      </c>
      <c r="R77" s="201"/>
      <c r="S77" s="201"/>
      <c r="T77" s="201"/>
      <c r="U77" s="201"/>
      <c r="V77" s="11"/>
      <c r="W77" s="11"/>
      <c r="X77" s="261" t="s">
        <v>140</v>
      </c>
      <c r="Y77" s="201"/>
      <c r="Z77" s="201"/>
      <c r="AA77" s="143" t="s">
        <v>3</v>
      </c>
      <c r="AB77" s="143" t="s">
        <v>3</v>
      </c>
      <c r="AC77" s="11"/>
      <c r="AD77" s="11"/>
      <c r="AE77" s="261" t="s">
        <v>140</v>
      </c>
      <c r="AF77" s="201"/>
      <c r="AG77" s="201"/>
      <c r="AH77" s="22" t="s">
        <v>3</v>
      </c>
      <c r="AI77" s="165">
        <v>8</v>
      </c>
      <c r="AK77" s="47"/>
      <c r="AL77" s="23"/>
      <c r="AM77" s="24"/>
    </row>
    <row r="78" spans="1:94" ht="15.75" thickBot="1" x14ac:dyDescent="0.25">
      <c r="B78" s="244"/>
      <c r="C78" s="244"/>
      <c r="D78" s="91" t="str">
        <f>(D133)</f>
        <v>Pre Separation Brief</v>
      </c>
      <c r="E78" s="1"/>
      <c r="F78" s="1"/>
      <c r="G78" s="1"/>
      <c r="H78" s="10"/>
      <c r="I78" s="10"/>
      <c r="J78" s="288" t="str">
        <f>(D134)</f>
        <v>Three-Day Transition Workshop</v>
      </c>
      <c r="K78" s="289"/>
      <c r="L78" s="290"/>
      <c r="M78" s="257" t="str">
        <f>(D137)</f>
        <v>Employment 2 Day Seminar</v>
      </c>
      <c r="N78" s="258"/>
      <c r="O78" s="10"/>
      <c r="P78" s="10"/>
      <c r="Q78" s="1"/>
      <c r="R78" s="90" t="str">
        <f>(D133)</f>
        <v>Pre Separation Brief</v>
      </c>
      <c r="S78" s="1"/>
      <c r="T78" s="1"/>
      <c r="U78" s="1"/>
      <c r="V78" s="11"/>
      <c r="W78" s="11"/>
      <c r="X78" s="282" t="s">
        <v>80</v>
      </c>
      <c r="Y78" s="283"/>
      <c r="Z78" s="283"/>
      <c r="AA78" s="283"/>
      <c r="AB78" s="283"/>
      <c r="AC78" s="283"/>
      <c r="AD78" s="283"/>
      <c r="AE78" s="323"/>
      <c r="AF78" s="323"/>
      <c r="AG78" s="323"/>
      <c r="AH78" s="324"/>
      <c r="AK78" s="47"/>
      <c r="AL78" s="23"/>
      <c r="AM78" s="27"/>
    </row>
    <row r="79" spans="1:94" ht="15.75" thickBot="1" x14ac:dyDescent="0.25">
      <c r="B79" s="244"/>
      <c r="C79" s="244"/>
      <c r="D79" s="6"/>
      <c r="E79" s="122" t="s">
        <v>18</v>
      </c>
      <c r="F79" s="7"/>
      <c r="G79" s="7"/>
      <c r="H79" s="11"/>
      <c r="I79" s="11"/>
      <c r="J79" s="7"/>
      <c r="K79" s="7"/>
      <c r="L79" s="73"/>
      <c r="M79" s="7"/>
      <c r="N79" s="7"/>
      <c r="O79" s="11"/>
      <c r="P79" s="11"/>
      <c r="Q79" s="7"/>
      <c r="R79" s="7"/>
      <c r="S79" s="7"/>
      <c r="T79" s="7"/>
      <c r="U79" s="7"/>
      <c r="V79" s="11"/>
      <c r="W79" s="11"/>
      <c r="X79" s="7"/>
      <c r="Y79" s="7"/>
      <c r="Z79" s="7"/>
      <c r="AA79" s="143" t="s">
        <v>3</v>
      </c>
      <c r="AB79" s="143" t="s">
        <v>3</v>
      </c>
      <c r="AC79" s="11"/>
      <c r="AD79" s="11"/>
      <c r="AE79" s="7"/>
      <c r="AF79" s="7"/>
      <c r="AG79" s="7"/>
      <c r="AH79" s="22" t="s">
        <v>3</v>
      </c>
      <c r="AK79" s="47"/>
      <c r="AL79" s="26"/>
      <c r="AM79" s="29">
        <v>17</v>
      </c>
    </row>
    <row r="80" spans="1:94" ht="15.75" thickBot="1" x14ac:dyDescent="0.25">
      <c r="B80" s="244"/>
      <c r="C80" s="24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K80" s="47"/>
      <c r="AL80" s="23"/>
      <c r="AM80" s="28"/>
    </row>
    <row r="81" spans="2:39" x14ac:dyDescent="0.2">
      <c r="B81" s="244"/>
      <c r="C81" s="244"/>
      <c r="D81" s="194">
        <v>46388</v>
      </c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6"/>
      <c r="AJ81" s="165" t="s">
        <v>59</v>
      </c>
      <c r="AK81" s="47">
        <f>SUM(AK75+2.5-AM79)</f>
        <v>45</v>
      </c>
      <c r="AL81" s="23"/>
      <c r="AM81" s="24"/>
    </row>
    <row r="82" spans="2:39" x14ac:dyDescent="0.2">
      <c r="B82" s="244"/>
      <c r="C82" s="244"/>
      <c r="D82" s="4">
        <v>1</v>
      </c>
      <c r="E82" s="10">
        <v>2</v>
      </c>
      <c r="F82" s="10">
        <v>3</v>
      </c>
      <c r="G82" s="1">
        <v>4</v>
      </c>
      <c r="H82" s="1">
        <v>5</v>
      </c>
      <c r="I82" s="1">
        <v>6</v>
      </c>
      <c r="J82" s="1">
        <v>7</v>
      </c>
      <c r="K82" s="1">
        <v>8</v>
      </c>
      <c r="L82" s="10">
        <v>9</v>
      </c>
      <c r="M82" s="10">
        <v>10</v>
      </c>
      <c r="N82" s="1">
        <v>11</v>
      </c>
      <c r="O82" s="1">
        <v>12</v>
      </c>
      <c r="P82" s="1">
        <v>13</v>
      </c>
      <c r="Q82" s="1">
        <v>14</v>
      </c>
      <c r="R82" s="1">
        <v>15</v>
      </c>
      <c r="S82" s="10">
        <v>16</v>
      </c>
      <c r="T82" s="10">
        <v>17</v>
      </c>
      <c r="U82" s="1">
        <v>18</v>
      </c>
      <c r="V82" s="1">
        <v>19</v>
      </c>
      <c r="W82" s="1">
        <v>20</v>
      </c>
      <c r="X82" s="1">
        <v>21</v>
      </c>
      <c r="Y82" s="1">
        <v>22</v>
      </c>
      <c r="Z82" s="10">
        <v>23</v>
      </c>
      <c r="AA82" s="10">
        <v>24</v>
      </c>
      <c r="AB82" s="1">
        <v>25</v>
      </c>
      <c r="AC82" s="1">
        <v>26</v>
      </c>
      <c r="AD82" s="1">
        <v>27</v>
      </c>
      <c r="AE82" s="1">
        <v>28</v>
      </c>
      <c r="AF82" s="1">
        <v>29</v>
      </c>
      <c r="AG82" s="10">
        <v>30</v>
      </c>
      <c r="AH82" s="40">
        <v>31</v>
      </c>
      <c r="AK82" s="47"/>
      <c r="AL82" s="23"/>
      <c r="AM82" s="24"/>
    </row>
    <row r="83" spans="2:39" ht="21" x14ac:dyDescent="0.3">
      <c r="B83" s="244"/>
      <c r="C83" s="244"/>
      <c r="D83" s="21" t="s">
        <v>2</v>
      </c>
      <c r="E83" s="10"/>
      <c r="F83" s="10"/>
      <c r="G83" s="200" t="s">
        <v>154</v>
      </c>
      <c r="H83" s="201"/>
      <c r="I83" s="201"/>
      <c r="J83" s="201"/>
      <c r="K83" s="202"/>
      <c r="L83" s="10"/>
      <c r="M83" s="10"/>
      <c r="N83" s="200" t="s">
        <v>154</v>
      </c>
      <c r="O83" s="201"/>
      <c r="P83" s="201"/>
      <c r="Q83" s="201"/>
      <c r="R83" s="202"/>
      <c r="S83" s="10"/>
      <c r="T83" s="10"/>
      <c r="U83" s="141" t="s">
        <v>81</v>
      </c>
      <c r="V83" s="261" t="s">
        <v>155</v>
      </c>
      <c r="W83" s="201"/>
      <c r="X83" s="201"/>
      <c r="Y83" s="202"/>
      <c r="Z83" s="10"/>
      <c r="AA83" s="10"/>
      <c r="AB83" s="201" t="s">
        <v>145</v>
      </c>
      <c r="AC83" s="201"/>
      <c r="AD83" s="201"/>
      <c r="AE83" s="201"/>
      <c r="AF83" s="201"/>
      <c r="AG83" s="129" t="s">
        <v>72</v>
      </c>
      <c r="AH83" s="130"/>
      <c r="AI83" s="165">
        <v>19</v>
      </c>
      <c r="AK83" s="47"/>
      <c r="AL83" s="23"/>
      <c r="AM83" s="24"/>
    </row>
    <row r="84" spans="2:39" ht="15.75" thickBot="1" x14ac:dyDescent="0.25">
      <c r="B84" s="244"/>
      <c r="C84" s="244"/>
      <c r="D84" s="100"/>
      <c r="E84" s="10"/>
      <c r="F84" s="10"/>
      <c r="G84" s="1"/>
      <c r="H84" s="1"/>
      <c r="I84" s="1"/>
      <c r="J84" s="1"/>
      <c r="K84" s="1"/>
      <c r="L84" s="10"/>
      <c r="M84" s="10"/>
      <c r="N84" s="1"/>
      <c r="O84" s="1"/>
      <c r="P84" s="1"/>
      <c r="Q84" s="1"/>
      <c r="R84" s="1"/>
      <c r="S84" s="10"/>
      <c r="T84" s="10"/>
      <c r="U84" s="1"/>
      <c r="V84" s="1"/>
      <c r="W84" s="1"/>
      <c r="X84" s="1"/>
      <c r="Y84" s="1"/>
      <c r="Z84" s="10"/>
      <c r="AA84" s="10"/>
      <c r="AB84" s="1"/>
      <c r="AC84" s="1"/>
      <c r="AD84" s="1"/>
      <c r="AE84" s="1"/>
      <c r="AF84" s="1"/>
      <c r="AG84" s="10"/>
      <c r="AH84" s="40"/>
      <c r="AK84" s="47"/>
      <c r="AL84" s="23"/>
      <c r="AM84" s="27"/>
    </row>
    <row r="85" spans="2:39" ht="25.5" thickBot="1" x14ac:dyDescent="0.4">
      <c r="B85" s="244"/>
      <c r="C85" s="244"/>
      <c r="D85" s="21" t="s">
        <v>2</v>
      </c>
      <c r="E85" s="10"/>
      <c r="F85" s="10"/>
      <c r="G85" s="1"/>
      <c r="H85" s="1"/>
      <c r="I85" s="1"/>
      <c r="J85" s="1"/>
      <c r="K85" s="1"/>
      <c r="L85" s="10"/>
      <c r="M85" s="10"/>
      <c r="N85" s="1"/>
      <c r="O85" s="1"/>
      <c r="P85" s="1"/>
      <c r="Q85" s="1"/>
      <c r="R85" s="1"/>
      <c r="S85" s="10"/>
      <c r="T85" s="10"/>
      <c r="U85" s="141" t="s">
        <v>81</v>
      </c>
      <c r="V85" s="1"/>
      <c r="W85" s="1"/>
      <c r="X85" s="1"/>
      <c r="Y85" s="1"/>
      <c r="Z85" s="10"/>
      <c r="AA85" s="10"/>
      <c r="AB85" s="1"/>
      <c r="AC85" s="1"/>
      <c r="AD85" s="1"/>
      <c r="AE85" s="1"/>
      <c r="AF85" s="1"/>
      <c r="AG85" s="10"/>
      <c r="AH85" s="40"/>
      <c r="AI85" s="140"/>
      <c r="AK85" s="47"/>
      <c r="AL85" s="26"/>
      <c r="AM85" s="29">
        <v>0</v>
      </c>
    </row>
    <row r="86" spans="2:39" ht="15.75" thickBot="1" x14ac:dyDescent="0.25">
      <c r="B86" s="244"/>
      <c r="C86" s="244"/>
      <c r="AK86" s="47"/>
      <c r="AL86" s="23"/>
      <c r="AM86" s="28"/>
    </row>
    <row r="87" spans="2:39" x14ac:dyDescent="0.2">
      <c r="B87" s="244"/>
      <c r="C87" s="244"/>
      <c r="D87" s="194">
        <v>46419</v>
      </c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6"/>
      <c r="AI87" s="165" t="s">
        <v>86</v>
      </c>
      <c r="AJ87" s="165" t="s">
        <v>60</v>
      </c>
      <c r="AK87" s="47">
        <f>SUM(AK81+2.5-AM85)</f>
        <v>47.5</v>
      </c>
      <c r="AL87" s="23"/>
      <c r="AM87" s="24"/>
    </row>
    <row r="88" spans="2:39" ht="24.75" x14ac:dyDescent="0.35">
      <c r="B88" s="244"/>
      <c r="C88" s="244"/>
      <c r="D88" s="4">
        <v>1</v>
      </c>
      <c r="E88" s="1">
        <v>2</v>
      </c>
      <c r="F88" s="1">
        <v>3</v>
      </c>
      <c r="G88" s="1">
        <v>4</v>
      </c>
      <c r="H88" s="1">
        <v>5</v>
      </c>
      <c r="I88" s="38">
        <v>6</v>
      </c>
      <c r="J88" s="38">
        <v>7</v>
      </c>
      <c r="K88" s="1">
        <v>8</v>
      </c>
      <c r="L88" s="1">
        <v>9</v>
      </c>
      <c r="M88" s="1">
        <v>10</v>
      </c>
      <c r="N88" s="1">
        <v>11</v>
      </c>
      <c r="O88" s="1">
        <v>12</v>
      </c>
      <c r="P88" s="38">
        <v>13</v>
      </c>
      <c r="Q88" s="38">
        <v>14</v>
      </c>
      <c r="R88" s="1">
        <v>15</v>
      </c>
      <c r="S88" s="1">
        <v>16</v>
      </c>
      <c r="T88" s="1">
        <v>17</v>
      </c>
      <c r="U88" s="1">
        <v>18</v>
      </c>
      <c r="V88" s="1">
        <v>19</v>
      </c>
      <c r="W88" s="38">
        <v>20</v>
      </c>
      <c r="X88" s="38">
        <v>21</v>
      </c>
      <c r="Y88" s="1">
        <v>22</v>
      </c>
      <c r="Z88" s="1">
        <v>23</v>
      </c>
      <c r="AA88" s="62">
        <v>24</v>
      </c>
      <c r="AB88" s="62">
        <v>25</v>
      </c>
      <c r="AC88" s="62">
        <v>26</v>
      </c>
      <c r="AD88" s="103">
        <v>27</v>
      </c>
      <c r="AE88" s="103">
        <v>28</v>
      </c>
      <c r="AF88" s="1"/>
      <c r="AG88" s="1"/>
      <c r="AH88" s="5"/>
      <c r="AI88" s="140">
        <f>SUM(AI56:AI87)</f>
        <v>38</v>
      </c>
      <c r="AK88" s="47"/>
      <c r="AL88" s="23"/>
      <c r="AM88" s="24"/>
    </row>
    <row r="89" spans="2:39" ht="21" x14ac:dyDescent="0.3">
      <c r="B89" s="244"/>
      <c r="C89" s="244"/>
      <c r="D89" s="327" t="s">
        <v>71</v>
      </c>
      <c r="E89" s="327"/>
      <c r="F89" s="327"/>
      <c r="G89" s="327"/>
      <c r="H89" s="327"/>
      <c r="I89" s="327"/>
      <c r="J89" s="327"/>
      <c r="K89" s="327"/>
      <c r="L89" s="327"/>
      <c r="M89" s="327"/>
      <c r="N89" s="327"/>
      <c r="O89" s="327"/>
      <c r="P89" s="327"/>
      <c r="Q89" s="327"/>
      <c r="R89" s="327"/>
      <c r="S89" s="327"/>
      <c r="T89" s="327"/>
      <c r="U89" s="327"/>
      <c r="V89" s="327"/>
      <c r="W89" s="327"/>
      <c r="X89" s="327"/>
      <c r="Y89" s="327"/>
      <c r="Z89" s="327"/>
      <c r="AA89" s="327"/>
      <c r="AB89" s="327"/>
      <c r="AC89" s="327"/>
      <c r="AD89" s="327"/>
      <c r="AE89" s="328"/>
      <c r="AF89" s="102"/>
      <c r="AG89" s="1"/>
      <c r="AH89" s="5"/>
      <c r="AK89" s="47"/>
      <c r="AL89" s="23"/>
      <c r="AM89" s="24"/>
    </row>
    <row r="90" spans="2:39" ht="15.75" thickBot="1" x14ac:dyDescent="0.25">
      <c r="B90" s="244"/>
      <c r="C90" s="244"/>
      <c r="D90" s="4"/>
      <c r="E90" s="1"/>
      <c r="F90" s="1"/>
      <c r="G90" s="1"/>
      <c r="H90" s="1"/>
      <c r="I90" s="38"/>
      <c r="J90" s="38"/>
      <c r="K90" s="1"/>
      <c r="L90" s="1"/>
      <c r="M90" s="1"/>
      <c r="N90" s="1"/>
      <c r="O90" s="1"/>
      <c r="P90" s="38"/>
      <c r="Q90" s="38"/>
      <c r="R90" s="1"/>
      <c r="S90" s="1"/>
      <c r="T90" s="1"/>
      <c r="U90" s="1"/>
      <c r="V90" s="1"/>
      <c r="W90" s="38"/>
      <c r="X90" s="38"/>
      <c r="Y90" s="1"/>
      <c r="Z90" s="1"/>
      <c r="AA90" s="59"/>
      <c r="AB90" s="59"/>
      <c r="AC90" s="59"/>
      <c r="AD90" s="104"/>
      <c r="AE90" s="104"/>
      <c r="AF90" s="1"/>
      <c r="AG90" s="1"/>
      <c r="AH90" s="5"/>
      <c r="AK90" s="47"/>
      <c r="AL90" s="23"/>
      <c r="AM90" s="27"/>
    </row>
    <row r="91" spans="2:39" ht="15.75" thickBot="1" x14ac:dyDescent="0.25">
      <c r="B91" s="244"/>
      <c r="C91" s="244"/>
      <c r="D91" s="4"/>
      <c r="E91" s="1"/>
      <c r="F91" s="1"/>
      <c r="G91" s="1"/>
      <c r="H91" s="1"/>
      <c r="I91" s="38"/>
      <c r="J91" s="38"/>
      <c r="K91" s="22" t="s">
        <v>9</v>
      </c>
      <c r="L91" s="1"/>
      <c r="M91" s="1"/>
      <c r="N91" s="1"/>
      <c r="O91" s="1"/>
      <c r="P91" s="38"/>
      <c r="Q91" s="38"/>
      <c r="R91" s="141" t="s">
        <v>82</v>
      </c>
      <c r="S91" s="1"/>
      <c r="T91" s="1"/>
      <c r="U91" s="1"/>
      <c r="V91" s="1"/>
      <c r="W91" s="38"/>
      <c r="X91" s="38"/>
      <c r="Y91" s="1"/>
      <c r="Z91" s="1"/>
      <c r="AA91" s="1"/>
      <c r="AB91" s="1"/>
      <c r="AC91" s="1"/>
      <c r="AD91" s="38"/>
      <c r="AE91" s="38"/>
      <c r="AF91" s="1"/>
      <c r="AG91" s="1"/>
      <c r="AH91" s="5"/>
      <c r="AK91" s="47"/>
      <c r="AL91" s="26"/>
      <c r="AM91" s="29">
        <v>0</v>
      </c>
    </row>
    <row r="92" spans="2:39" ht="15.75" thickBot="1" x14ac:dyDescent="0.25">
      <c r="B92" s="244"/>
      <c r="C92" s="24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K92" s="47"/>
      <c r="AL92" s="23"/>
      <c r="AM92" s="28"/>
    </row>
    <row r="93" spans="2:39" x14ac:dyDescent="0.2">
      <c r="B93" s="244"/>
      <c r="C93" s="244"/>
      <c r="D93" s="194">
        <v>46447</v>
      </c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6"/>
      <c r="AI93" s="165" t="s">
        <v>87</v>
      </c>
      <c r="AJ93" s="165" t="s">
        <v>61</v>
      </c>
      <c r="AK93" s="47">
        <f>SUM(AK87+2.5-AM91)</f>
        <v>50</v>
      </c>
      <c r="AL93" s="23"/>
      <c r="AM93" s="24"/>
    </row>
    <row r="94" spans="2:39" ht="31.5" x14ac:dyDescent="0.45">
      <c r="B94" s="244"/>
      <c r="C94" s="244"/>
      <c r="D94" s="4">
        <v>1</v>
      </c>
      <c r="E94" s="1">
        <v>2</v>
      </c>
      <c r="F94" s="1">
        <v>3</v>
      </c>
      <c r="G94" s="1">
        <v>4</v>
      </c>
      <c r="H94" s="1">
        <v>5</v>
      </c>
      <c r="I94" s="10">
        <v>6</v>
      </c>
      <c r="J94" s="10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0">
        <v>13</v>
      </c>
      <c r="Q94" s="10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0">
        <v>20</v>
      </c>
      <c r="X94" s="10">
        <v>21</v>
      </c>
      <c r="Y94" s="1">
        <v>22</v>
      </c>
      <c r="Z94" s="1">
        <v>23</v>
      </c>
      <c r="AA94" s="1">
        <v>24</v>
      </c>
      <c r="AB94" s="1">
        <v>25</v>
      </c>
      <c r="AC94" s="1">
        <v>26</v>
      </c>
      <c r="AD94" s="10">
        <v>27</v>
      </c>
      <c r="AE94" s="10">
        <v>28</v>
      </c>
      <c r="AF94" s="1">
        <v>29</v>
      </c>
      <c r="AG94" s="1">
        <v>30</v>
      </c>
      <c r="AH94" s="5">
        <v>31</v>
      </c>
      <c r="AI94" s="160">
        <f>(AK117)</f>
        <v>-4.5</v>
      </c>
      <c r="AK94" s="47"/>
      <c r="AL94" s="23"/>
      <c r="AM94" s="24"/>
    </row>
    <row r="95" spans="2:39" ht="21.75" thickBot="1" x14ac:dyDescent="0.35">
      <c r="B95" s="244"/>
      <c r="C95" s="244"/>
      <c r="D95" s="321" t="s">
        <v>68</v>
      </c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  <c r="AA95" s="325"/>
      <c r="AB95" s="325"/>
      <c r="AC95" s="325"/>
      <c r="AD95" s="325"/>
      <c r="AE95" s="325"/>
      <c r="AF95" s="325"/>
      <c r="AG95" s="325"/>
      <c r="AH95" s="326"/>
      <c r="AK95" s="47"/>
      <c r="AL95" s="23"/>
      <c r="AM95" s="24"/>
    </row>
    <row r="96" spans="2:39" ht="15.75" thickBot="1" x14ac:dyDescent="0.25">
      <c r="B96" s="244"/>
      <c r="C96" s="244"/>
      <c r="D96" s="4"/>
      <c r="E96" s="1"/>
      <c r="F96" s="1"/>
      <c r="G96" s="1"/>
      <c r="H96" s="1"/>
      <c r="I96" s="10"/>
      <c r="J96" s="10"/>
      <c r="K96" s="1"/>
      <c r="L96" s="1"/>
      <c r="M96" s="1"/>
      <c r="N96" s="1"/>
      <c r="O96" s="1"/>
      <c r="P96" s="10"/>
      <c r="Q96" s="10"/>
      <c r="R96" s="1"/>
      <c r="S96" s="1"/>
      <c r="T96" s="1"/>
      <c r="U96" s="1"/>
      <c r="V96" s="1"/>
      <c r="W96" s="10"/>
      <c r="X96" s="10"/>
      <c r="Y96" s="1"/>
      <c r="Z96" s="1"/>
      <c r="AA96" s="1"/>
      <c r="AB96" s="1"/>
      <c r="AC96" s="1"/>
      <c r="AD96" s="10"/>
      <c r="AE96" s="10"/>
      <c r="AF96" s="1"/>
      <c r="AG96" s="1"/>
      <c r="AH96" s="5"/>
      <c r="AK96" s="47"/>
      <c r="AL96" s="23"/>
      <c r="AM96" s="27"/>
    </row>
    <row r="97" spans="2:39" ht="15.75" thickBot="1" x14ac:dyDescent="0.25">
      <c r="B97" s="244"/>
      <c r="C97" s="244"/>
      <c r="D97" s="4"/>
      <c r="E97" s="1"/>
      <c r="F97" s="1"/>
      <c r="G97" s="1"/>
      <c r="H97" s="1"/>
      <c r="I97" s="10"/>
      <c r="J97" s="10"/>
      <c r="K97" s="1"/>
      <c r="L97" s="1"/>
      <c r="M97" s="1"/>
      <c r="N97" s="1"/>
      <c r="O97" s="1"/>
      <c r="P97" s="10"/>
      <c r="Q97" s="10"/>
      <c r="R97" s="1"/>
      <c r="S97" s="1"/>
      <c r="T97" s="1"/>
      <c r="U97" s="1"/>
      <c r="V97" s="1"/>
      <c r="W97" s="10"/>
      <c r="X97" s="10"/>
      <c r="Y97" s="1"/>
      <c r="Z97" s="1"/>
      <c r="AA97" s="1"/>
      <c r="AB97" s="1"/>
      <c r="AC97" s="1"/>
      <c r="AD97" s="10"/>
      <c r="AE97" s="10"/>
      <c r="AF97" s="1"/>
      <c r="AG97" s="1"/>
      <c r="AH97" s="5"/>
      <c r="AK97" s="47"/>
      <c r="AL97" s="26"/>
      <c r="AM97" s="29">
        <v>0</v>
      </c>
    </row>
    <row r="98" spans="2:39" ht="15.75" thickBot="1" x14ac:dyDescent="0.25">
      <c r="B98" s="244"/>
      <c r="C98" s="244"/>
      <c r="AK98" s="47"/>
      <c r="AL98" s="23"/>
      <c r="AM98" s="28"/>
    </row>
    <row r="99" spans="2:39" x14ac:dyDescent="0.2">
      <c r="B99" s="244"/>
      <c r="C99" s="244"/>
      <c r="D99" s="194">
        <v>46478</v>
      </c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6"/>
      <c r="AJ99" s="165" t="s">
        <v>62</v>
      </c>
      <c r="AK99" s="47">
        <f>SUM(AK93+2.5-AM97)</f>
        <v>52.5</v>
      </c>
      <c r="AL99" s="23"/>
      <c r="AM99" s="24"/>
    </row>
    <row r="100" spans="2:39" x14ac:dyDescent="0.2">
      <c r="B100" s="244"/>
      <c r="C100" s="244"/>
      <c r="D100" s="4">
        <v>1</v>
      </c>
      <c r="E100" s="1">
        <v>2</v>
      </c>
      <c r="F100" s="10">
        <v>3</v>
      </c>
      <c r="G100" s="10">
        <v>4</v>
      </c>
      <c r="H100" s="1">
        <v>5</v>
      </c>
      <c r="I100" s="1">
        <v>6</v>
      </c>
      <c r="J100" s="1">
        <v>7</v>
      </c>
      <c r="K100" s="1">
        <v>8</v>
      </c>
      <c r="L100" s="1">
        <v>9</v>
      </c>
      <c r="M100" s="10">
        <v>10</v>
      </c>
      <c r="N100" s="10">
        <v>11</v>
      </c>
      <c r="O100" s="1">
        <v>12</v>
      </c>
      <c r="P100" s="1">
        <v>13</v>
      </c>
      <c r="Q100" s="1">
        <v>14</v>
      </c>
      <c r="R100" s="1">
        <v>15</v>
      </c>
      <c r="S100" s="1">
        <v>16</v>
      </c>
      <c r="T100" s="10">
        <v>17</v>
      </c>
      <c r="U100" s="10">
        <v>18</v>
      </c>
      <c r="V100" s="1">
        <v>19</v>
      </c>
      <c r="W100" s="1">
        <v>20</v>
      </c>
      <c r="X100" s="1">
        <v>21</v>
      </c>
      <c r="Y100" s="1">
        <v>22</v>
      </c>
      <c r="Z100" s="1">
        <v>23</v>
      </c>
      <c r="AA100" s="10">
        <v>24</v>
      </c>
      <c r="AB100" s="10">
        <v>25</v>
      </c>
      <c r="AC100" s="1">
        <v>26</v>
      </c>
      <c r="AD100" s="1">
        <v>27</v>
      </c>
      <c r="AE100" s="1">
        <v>28</v>
      </c>
      <c r="AF100" s="1">
        <v>29</v>
      </c>
      <c r="AG100" s="1">
        <v>30</v>
      </c>
      <c r="AH100" s="5"/>
      <c r="AK100" s="47"/>
      <c r="AL100" s="23"/>
      <c r="AM100" s="24"/>
    </row>
    <row r="101" spans="2:39" ht="21.75" thickBot="1" x14ac:dyDescent="0.35">
      <c r="B101" s="244"/>
      <c r="C101" s="244"/>
      <c r="D101" s="321" t="s">
        <v>77</v>
      </c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322"/>
      <c r="AB101" s="322"/>
      <c r="AC101" s="322"/>
      <c r="AD101" s="322"/>
      <c r="AE101" s="322"/>
      <c r="AF101" s="322"/>
      <c r="AG101" s="133"/>
      <c r="AH101" s="65"/>
      <c r="AK101" s="47"/>
      <c r="AL101" s="23"/>
      <c r="AM101" s="24"/>
    </row>
    <row r="102" spans="2:39" ht="15.75" thickBot="1" x14ac:dyDescent="0.25">
      <c r="B102" s="244"/>
      <c r="C102" s="244"/>
      <c r="D102" s="4"/>
      <c r="E102" s="1"/>
      <c r="F102" s="10"/>
      <c r="G102" s="10"/>
      <c r="H102" s="1"/>
      <c r="I102" s="1"/>
      <c r="J102" s="1"/>
      <c r="K102" s="1"/>
      <c r="L102" s="1"/>
      <c r="M102" s="10"/>
      <c r="N102" s="10"/>
      <c r="O102" s="1"/>
      <c r="P102" s="1"/>
      <c r="Q102" s="1"/>
      <c r="R102" s="1"/>
      <c r="S102" s="1"/>
      <c r="T102" s="10"/>
      <c r="U102" s="10"/>
      <c r="V102" s="1"/>
      <c r="W102" s="1"/>
      <c r="X102" s="1"/>
      <c r="Y102" s="1"/>
      <c r="Z102" s="1"/>
      <c r="AA102" s="10"/>
      <c r="AB102" s="10"/>
      <c r="AC102" s="1"/>
      <c r="AD102" s="1"/>
      <c r="AE102" s="1"/>
      <c r="AF102" s="1"/>
      <c r="AG102" s="1"/>
      <c r="AH102" s="5"/>
      <c r="AK102" s="47"/>
      <c r="AL102" s="23"/>
      <c r="AM102" s="27"/>
    </row>
    <row r="103" spans="2:39" ht="15.75" thickBot="1" x14ac:dyDescent="0.25">
      <c r="B103" s="244"/>
      <c r="C103" s="244"/>
      <c r="D103" s="4"/>
      <c r="E103" s="1"/>
      <c r="F103" s="10"/>
      <c r="G103" s="10"/>
      <c r="H103" s="1"/>
      <c r="I103" s="1"/>
      <c r="J103" s="1"/>
      <c r="K103" s="1"/>
      <c r="L103" s="1"/>
      <c r="M103" s="10"/>
      <c r="N103" s="10"/>
      <c r="O103" s="1"/>
      <c r="P103" s="1"/>
      <c r="Q103" s="1"/>
      <c r="R103" s="1"/>
      <c r="S103" s="1"/>
      <c r="T103" s="10"/>
      <c r="U103" s="10"/>
      <c r="V103" s="1"/>
      <c r="W103" s="1"/>
      <c r="X103" s="1"/>
      <c r="Y103" s="1"/>
      <c r="Z103" s="1"/>
      <c r="AA103" s="10"/>
      <c r="AB103" s="10"/>
      <c r="AC103" s="1"/>
      <c r="AD103" s="1"/>
      <c r="AE103" s="1"/>
      <c r="AF103" s="1"/>
      <c r="AG103" s="1"/>
      <c r="AH103" s="5"/>
      <c r="AK103" s="47"/>
      <c r="AL103" s="26"/>
      <c r="AM103" s="29">
        <v>1</v>
      </c>
    </row>
    <row r="104" spans="2:39" ht="15.75" thickBot="1" x14ac:dyDescent="0.25">
      <c r="B104" s="244"/>
      <c r="C104" s="244"/>
      <c r="AK104" s="47"/>
      <c r="AL104" s="23"/>
      <c r="AM104" s="28"/>
    </row>
    <row r="105" spans="2:39" x14ac:dyDescent="0.2">
      <c r="B105" s="244"/>
      <c r="C105" s="244"/>
      <c r="D105" s="194">
        <v>46508</v>
      </c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6"/>
      <c r="AJ105" s="165" t="s">
        <v>51</v>
      </c>
      <c r="AK105" s="47">
        <f>SUM(AK99+2.5-AM103)</f>
        <v>54</v>
      </c>
      <c r="AL105" s="23"/>
      <c r="AM105" s="24"/>
    </row>
    <row r="106" spans="2:39" x14ac:dyDescent="0.2">
      <c r="B106" s="244"/>
      <c r="C106" s="244"/>
      <c r="D106" s="12">
        <v>1</v>
      </c>
      <c r="E106" s="10">
        <v>2</v>
      </c>
      <c r="F106" s="1">
        <v>3</v>
      </c>
      <c r="G106" s="1">
        <v>4</v>
      </c>
      <c r="H106" s="1">
        <v>5</v>
      </c>
      <c r="I106" s="1">
        <v>6</v>
      </c>
      <c r="J106" s="1">
        <v>7</v>
      </c>
      <c r="K106" s="10">
        <v>8</v>
      </c>
      <c r="L106" s="10">
        <v>9</v>
      </c>
      <c r="M106" s="1">
        <v>10</v>
      </c>
      <c r="N106" s="1">
        <v>11</v>
      </c>
      <c r="O106" s="1">
        <v>12</v>
      </c>
      <c r="P106" s="1">
        <v>13</v>
      </c>
      <c r="Q106" s="1">
        <v>14</v>
      </c>
      <c r="R106" s="10">
        <v>15</v>
      </c>
      <c r="S106" s="10">
        <v>16</v>
      </c>
      <c r="T106" s="1">
        <v>17</v>
      </c>
      <c r="U106" s="1">
        <v>18</v>
      </c>
      <c r="V106" s="1">
        <v>19</v>
      </c>
      <c r="W106" s="1">
        <v>20</v>
      </c>
      <c r="X106" s="1">
        <v>21</v>
      </c>
      <c r="Y106" s="10">
        <v>22</v>
      </c>
      <c r="Z106" s="10">
        <v>23</v>
      </c>
      <c r="AA106" s="1">
        <v>24</v>
      </c>
      <c r="AB106" s="1">
        <v>25</v>
      </c>
      <c r="AC106" s="1">
        <v>26</v>
      </c>
      <c r="AD106" s="1">
        <v>27</v>
      </c>
      <c r="AE106" s="1">
        <v>28</v>
      </c>
      <c r="AF106" s="10">
        <v>29</v>
      </c>
      <c r="AG106" s="10">
        <v>30</v>
      </c>
      <c r="AH106" s="5">
        <v>31</v>
      </c>
      <c r="AK106" s="47"/>
      <c r="AL106" s="23"/>
      <c r="AM106" s="24"/>
    </row>
    <row r="107" spans="2:39" ht="21.75" thickBot="1" x14ac:dyDescent="0.35">
      <c r="B107" s="244"/>
      <c r="C107" s="244"/>
      <c r="D107" s="198" t="s">
        <v>75</v>
      </c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9"/>
      <c r="AK107" s="47"/>
      <c r="AL107" s="23"/>
      <c r="AM107" s="24"/>
    </row>
    <row r="108" spans="2:39" ht="15.75" thickBot="1" x14ac:dyDescent="0.25">
      <c r="B108" s="244"/>
      <c r="C108" s="244"/>
      <c r="D108" s="12"/>
      <c r="E108" s="10"/>
      <c r="F108" s="1"/>
      <c r="G108" s="1"/>
      <c r="H108" s="1"/>
      <c r="I108" s="1"/>
      <c r="J108" s="1"/>
      <c r="K108" s="10"/>
      <c r="L108" s="10"/>
      <c r="M108" s="1"/>
      <c r="N108" s="1"/>
      <c r="O108" s="1"/>
      <c r="P108" s="1"/>
      <c r="Q108" s="1"/>
      <c r="R108" s="10"/>
      <c r="S108" s="10"/>
      <c r="T108" s="1"/>
      <c r="U108" s="1"/>
      <c r="V108" s="1"/>
      <c r="W108" s="1"/>
      <c r="X108" s="1"/>
      <c r="Y108" s="10"/>
      <c r="Z108" s="10"/>
      <c r="AA108" s="1"/>
      <c r="AB108" s="1"/>
      <c r="AC108" s="1"/>
      <c r="AD108" s="1"/>
      <c r="AE108" s="1"/>
      <c r="AF108" s="10"/>
      <c r="AG108" s="10"/>
      <c r="AH108" s="5"/>
      <c r="AK108" s="47"/>
      <c r="AL108" s="23"/>
      <c r="AM108" s="27"/>
    </row>
    <row r="109" spans="2:39" ht="15.75" thickBot="1" x14ac:dyDescent="0.25">
      <c r="B109" s="244"/>
      <c r="C109" s="244"/>
      <c r="D109" s="12"/>
      <c r="E109" s="10"/>
      <c r="F109" s="1"/>
      <c r="G109" s="1"/>
      <c r="H109" s="1"/>
      <c r="I109" s="1"/>
      <c r="J109" s="1"/>
      <c r="K109" s="10"/>
      <c r="L109" s="10"/>
      <c r="M109" s="1"/>
      <c r="N109" s="1"/>
      <c r="O109" s="1"/>
      <c r="P109" s="1"/>
      <c r="Q109" s="1"/>
      <c r="R109" s="10"/>
      <c r="S109" s="10"/>
      <c r="T109" s="1"/>
      <c r="U109" s="1"/>
      <c r="V109" s="1"/>
      <c r="W109" s="1"/>
      <c r="X109" s="1"/>
      <c r="Y109" s="10"/>
      <c r="Z109" s="10"/>
      <c r="AA109" s="1"/>
      <c r="AB109" s="1"/>
      <c r="AC109" s="1"/>
      <c r="AD109" s="1"/>
      <c r="AE109" s="1"/>
      <c r="AF109" s="10"/>
      <c r="AG109" s="10"/>
      <c r="AH109" s="5"/>
      <c r="AK109" s="47"/>
      <c r="AL109" s="26"/>
      <c r="AM109" s="29">
        <v>31</v>
      </c>
    </row>
    <row r="110" spans="2:39" ht="15.75" thickBot="1" x14ac:dyDescent="0.25">
      <c r="B110" s="244"/>
      <c r="C110" s="244"/>
      <c r="AK110" s="47"/>
      <c r="AL110" s="23"/>
      <c r="AM110" s="28"/>
    </row>
    <row r="111" spans="2:39" x14ac:dyDescent="0.2">
      <c r="B111" s="244"/>
      <c r="C111" s="244"/>
      <c r="D111" s="194">
        <v>46539</v>
      </c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6"/>
      <c r="AJ111" s="165" t="s">
        <v>52</v>
      </c>
      <c r="AK111" s="47">
        <f>SUM(AK105+2.5-AM109)</f>
        <v>25.5</v>
      </c>
      <c r="AL111" s="23"/>
      <c r="AM111" s="24"/>
    </row>
    <row r="112" spans="2:39" x14ac:dyDescent="0.2">
      <c r="B112" s="244"/>
      <c r="C112" s="244"/>
      <c r="D112" s="4">
        <v>1</v>
      </c>
      <c r="E112" s="1">
        <v>2</v>
      </c>
      <c r="F112" s="1">
        <v>3</v>
      </c>
      <c r="G112" s="1">
        <v>4</v>
      </c>
      <c r="H112" s="10">
        <v>5</v>
      </c>
      <c r="I112" s="10">
        <v>6</v>
      </c>
      <c r="J112" s="1">
        <v>7</v>
      </c>
      <c r="K112" s="1">
        <v>8</v>
      </c>
      <c r="L112" s="1">
        <v>9</v>
      </c>
      <c r="M112" s="1">
        <v>10</v>
      </c>
      <c r="N112" s="1">
        <v>11</v>
      </c>
      <c r="O112" s="10">
        <v>12</v>
      </c>
      <c r="P112" s="10">
        <v>13</v>
      </c>
      <c r="Q112" s="1">
        <v>14</v>
      </c>
      <c r="R112" s="1">
        <v>15</v>
      </c>
      <c r="S112" s="1">
        <v>16</v>
      </c>
      <c r="T112" s="1">
        <v>17</v>
      </c>
      <c r="U112" s="1">
        <v>18</v>
      </c>
      <c r="V112" s="10">
        <v>19</v>
      </c>
      <c r="W112" s="10">
        <v>20</v>
      </c>
      <c r="X112" s="1">
        <v>21</v>
      </c>
      <c r="Y112" s="1">
        <v>22</v>
      </c>
      <c r="Z112" s="1">
        <v>23</v>
      </c>
      <c r="AA112" s="1">
        <v>24</v>
      </c>
      <c r="AB112" s="1">
        <v>25</v>
      </c>
      <c r="AC112" s="10">
        <v>26</v>
      </c>
      <c r="AD112" s="10">
        <v>27</v>
      </c>
      <c r="AE112" s="1">
        <v>28</v>
      </c>
      <c r="AF112" s="1">
        <v>29</v>
      </c>
      <c r="AG112" s="1">
        <v>30</v>
      </c>
      <c r="AH112" s="5"/>
      <c r="AK112" s="47"/>
      <c r="AL112" s="23"/>
      <c r="AM112" s="24"/>
    </row>
    <row r="113" spans="2:39" ht="21.75" thickBot="1" x14ac:dyDescent="0.35">
      <c r="B113" s="244"/>
      <c r="C113" s="244"/>
      <c r="D113" s="320" t="s">
        <v>76</v>
      </c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24"/>
      <c r="AK113" s="47"/>
      <c r="AL113" s="23"/>
      <c r="AM113" s="24"/>
    </row>
    <row r="114" spans="2:39" ht="15.75" thickBot="1" x14ac:dyDescent="0.25">
      <c r="B114" s="244"/>
      <c r="C114" s="244"/>
      <c r="D114" s="99"/>
      <c r="E114" s="102"/>
      <c r="F114" s="1"/>
      <c r="G114" s="1"/>
      <c r="H114" s="10"/>
      <c r="I114" s="10"/>
      <c r="J114" s="1"/>
      <c r="K114" s="1"/>
      <c r="L114" s="1"/>
      <c r="M114" s="1"/>
      <c r="N114" s="1"/>
      <c r="O114" s="10"/>
      <c r="P114" s="10"/>
      <c r="Q114" s="1"/>
      <c r="R114" s="1"/>
      <c r="S114" s="1"/>
      <c r="T114" s="1"/>
      <c r="U114" s="1"/>
      <c r="V114" s="10"/>
      <c r="W114" s="10"/>
      <c r="X114" s="1"/>
      <c r="Y114" s="1"/>
      <c r="Z114" s="1"/>
      <c r="AA114" s="1"/>
      <c r="AB114" s="1"/>
      <c r="AC114" s="10"/>
      <c r="AD114" s="10"/>
      <c r="AE114" s="1"/>
      <c r="AF114" s="1"/>
      <c r="AG114" s="1"/>
      <c r="AH114" s="5"/>
      <c r="AK114" s="47"/>
      <c r="AL114" s="23"/>
      <c r="AM114" s="27"/>
    </row>
    <row r="115" spans="2:39" ht="15.75" thickBot="1" x14ac:dyDescent="0.25">
      <c r="B115" s="244"/>
      <c r="C115" s="244"/>
      <c r="D115" s="99"/>
      <c r="E115" s="102"/>
      <c r="F115" s="1"/>
      <c r="G115" s="1"/>
      <c r="H115" s="10"/>
      <c r="I115" s="10"/>
      <c r="J115" s="1"/>
      <c r="K115" s="1"/>
      <c r="L115" s="1"/>
      <c r="M115" s="1"/>
      <c r="N115" s="1"/>
      <c r="O115" s="10"/>
      <c r="P115" s="10"/>
      <c r="Q115" s="1"/>
      <c r="R115" s="1"/>
      <c r="S115" s="1"/>
      <c r="T115" s="1"/>
      <c r="U115" s="143" t="s">
        <v>91</v>
      </c>
      <c r="V115" s="10"/>
      <c r="W115" s="10"/>
      <c r="X115" s="1"/>
      <c r="Y115" s="1"/>
      <c r="Z115" s="1"/>
      <c r="AA115" s="1"/>
      <c r="AB115" s="1"/>
      <c r="AC115" s="10"/>
      <c r="AD115" s="10"/>
      <c r="AE115" s="1"/>
      <c r="AF115" s="1"/>
      <c r="AG115" s="1"/>
      <c r="AH115" s="5"/>
      <c r="AK115" s="48"/>
      <c r="AL115" s="26"/>
      <c r="AM115" s="29">
        <v>30</v>
      </c>
    </row>
    <row r="116" spans="2:39" ht="35.25" thickBot="1" x14ac:dyDescent="0.55000000000000004">
      <c r="AI116" s="55"/>
      <c r="AJ116" s="55"/>
      <c r="AK116" s="54" t="s">
        <v>11</v>
      </c>
      <c r="AL116" s="148"/>
      <c r="AM116" s="28"/>
    </row>
    <row r="117" spans="2:39" ht="35.25" thickBot="1" x14ac:dyDescent="0.55000000000000004">
      <c r="D117" s="194">
        <v>46569</v>
      </c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6"/>
      <c r="AI117" s="55"/>
      <c r="AJ117" s="55" t="s">
        <v>53</v>
      </c>
      <c r="AK117" s="53">
        <f>SUM(AK111-AM115)</f>
        <v>-4.5</v>
      </c>
      <c r="AL117" s="148"/>
      <c r="AM117" s="24"/>
    </row>
    <row r="118" spans="2:39" x14ac:dyDescent="0.2">
      <c r="D118" s="16">
        <v>1</v>
      </c>
      <c r="E118" s="1">
        <v>2</v>
      </c>
      <c r="F118" s="10">
        <v>3</v>
      </c>
      <c r="G118" s="10">
        <v>4</v>
      </c>
      <c r="H118" s="1">
        <v>5</v>
      </c>
      <c r="I118" s="1">
        <v>6</v>
      </c>
      <c r="J118" s="1">
        <v>7</v>
      </c>
      <c r="K118" s="1">
        <v>8</v>
      </c>
      <c r="L118" s="1">
        <v>9</v>
      </c>
      <c r="M118" s="10">
        <v>10</v>
      </c>
      <c r="N118" s="10">
        <v>11</v>
      </c>
      <c r="O118" s="1">
        <v>12</v>
      </c>
      <c r="P118" s="1">
        <v>13</v>
      </c>
      <c r="Q118" s="1">
        <v>14</v>
      </c>
      <c r="R118" s="1">
        <v>15</v>
      </c>
      <c r="S118" s="1">
        <v>16</v>
      </c>
      <c r="T118" s="10">
        <v>17</v>
      </c>
      <c r="U118" s="10">
        <v>18</v>
      </c>
      <c r="V118" s="1">
        <v>19</v>
      </c>
      <c r="W118" s="1">
        <v>20</v>
      </c>
      <c r="X118" s="1">
        <v>21</v>
      </c>
      <c r="Y118" s="1">
        <v>22</v>
      </c>
      <c r="Z118" s="1">
        <v>23</v>
      </c>
      <c r="AA118" s="10">
        <v>24</v>
      </c>
      <c r="AB118" s="10">
        <v>25</v>
      </c>
      <c r="AC118" s="1">
        <v>26</v>
      </c>
      <c r="AD118" s="1">
        <v>27</v>
      </c>
      <c r="AE118" s="1">
        <v>28</v>
      </c>
      <c r="AF118" s="1">
        <v>29</v>
      </c>
      <c r="AG118" s="1">
        <v>30</v>
      </c>
      <c r="AH118" s="14">
        <v>31</v>
      </c>
      <c r="AK118" s="49"/>
      <c r="AL118" s="23"/>
      <c r="AM118" s="24"/>
    </row>
    <row r="119" spans="2:39" x14ac:dyDescent="0.2">
      <c r="D119" s="20" t="s">
        <v>1</v>
      </c>
      <c r="E119" s="1"/>
      <c r="F119" s="10"/>
      <c r="G119" s="10"/>
      <c r="H119" s="1"/>
      <c r="I119" s="1"/>
      <c r="J119" s="1"/>
      <c r="K119" s="1"/>
      <c r="L119" s="1"/>
      <c r="M119" s="10"/>
      <c r="N119" s="10"/>
      <c r="O119" s="1"/>
      <c r="P119" s="1"/>
      <c r="Q119" s="1"/>
      <c r="R119" s="1"/>
      <c r="S119" s="1"/>
      <c r="T119" s="10"/>
      <c r="U119" s="10"/>
      <c r="V119" s="1"/>
      <c r="W119" s="1"/>
      <c r="X119" s="1"/>
      <c r="Y119" s="1"/>
      <c r="Z119" s="1"/>
      <c r="AA119" s="10"/>
      <c r="AB119" s="10"/>
      <c r="AC119" s="1"/>
      <c r="AD119" s="1"/>
      <c r="AE119" s="1"/>
      <c r="AF119" s="1"/>
      <c r="AG119" s="1"/>
      <c r="AH119" s="14"/>
      <c r="AK119" s="47"/>
      <c r="AL119" s="23"/>
      <c r="AM119" s="24"/>
    </row>
    <row r="120" spans="2:39" x14ac:dyDescent="0.2">
      <c r="D120" s="16"/>
      <c r="E120" s="1"/>
      <c r="F120" s="10"/>
      <c r="G120" s="10"/>
      <c r="H120" s="1"/>
      <c r="I120" s="1"/>
      <c r="J120" s="1"/>
      <c r="K120" s="1"/>
      <c r="L120" s="1"/>
      <c r="M120" s="10"/>
      <c r="N120" s="10"/>
      <c r="O120" s="1"/>
      <c r="P120" s="1"/>
      <c r="Q120" s="1"/>
      <c r="R120" s="1"/>
      <c r="S120" s="1"/>
      <c r="T120" s="10"/>
      <c r="U120" s="10"/>
      <c r="V120" s="1"/>
      <c r="W120" s="1"/>
      <c r="X120" s="1"/>
      <c r="Y120" s="1"/>
      <c r="Z120" s="1"/>
      <c r="AA120" s="10"/>
      <c r="AB120" s="10"/>
      <c r="AC120" s="1"/>
      <c r="AD120" s="1"/>
      <c r="AE120" s="1"/>
      <c r="AF120" s="1"/>
      <c r="AG120" s="1"/>
      <c r="AH120" s="14"/>
      <c r="AK120" s="47"/>
      <c r="AL120" s="23"/>
      <c r="AM120" s="24"/>
    </row>
    <row r="121" spans="2:39" ht="15.75" thickBot="1" x14ac:dyDescent="0.25">
      <c r="D121" s="17"/>
      <c r="E121" s="7"/>
      <c r="F121" s="11"/>
      <c r="G121" s="11"/>
      <c r="H121" s="7"/>
      <c r="I121" s="7"/>
      <c r="J121" s="7"/>
      <c r="K121" s="7"/>
      <c r="L121" s="7"/>
      <c r="M121" s="11"/>
      <c r="N121" s="11"/>
      <c r="O121" s="7"/>
      <c r="P121" s="7"/>
      <c r="Q121" s="7"/>
      <c r="R121" s="7"/>
      <c r="S121" s="7"/>
      <c r="T121" s="11"/>
      <c r="U121" s="11"/>
      <c r="V121" s="7"/>
      <c r="W121" s="7"/>
      <c r="X121" s="7"/>
      <c r="Y121" s="7"/>
      <c r="Z121" s="7"/>
      <c r="AA121" s="11"/>
      <c r="AB121" s="11"/>
      <c r="AC121" s="7"/>
      <c r="AD121" s="7"/>
      <c r="AE121" s="7"/>
      <c r="AF121" s="7"/>
      <c r="AG121" s="7"/>
      <c r="AH121" s="15"/>
      <c r="AK121" s="47"/>
      <c r="AL121" s="23"/>
      <c r="AM121" s="24"/>
    </row>
    <row r="124" spans="2:39" x14ac:dyDescent="0.2">
      <c r="AF124">
        <v>6</v>
      </c>
    </row>
    <row r="125" spans="2:39" x14ac:dyDescent="0.2">
      <c r="AF125">
        <v>31</v>
      </c>
    </row>
    <row r="126" spans="2:39" x14ac:dyDescent="0.2">
      <c r="AF126">
        <v>30</v>
      </c>
    </row>
    <row r="127" spans="2:39" x14ac:dyDescent="0.2">
      <c r="AF127">
        <v>7</v>
      </c>
    </row>
    <row r="128" spans="2:39" x14ac:dyDescent="0.2">
      <c r="AF128">
        <f>SUM(AF124:AF127)</f>
        <v>74</v>
      </c>
    </row>
    <row r="132" spans="4:4" x14ac:dyDescent="0.2">
      <c r="D132" t="s">
        <v>20</v>
      </c>
    </row>
    <row r="133" spans="4:4" x14ac:dyDescent="0.2">
      <c r="D133" t="s">
        <v>21</v>
      </c>
    </row>
    <row r="134" spans="4:4" x14ac:dyDescent="0.2">
      <c r="D134" t="s">
        <v>22</v>
      </c>
    </row>
    <row r="135" spans="4:4" x14ac:dyDescent="0.2">
      <c r="D135" t="s">
        <v>23</v>
      </c>
    </row>
    <row r="136" spans="4:4" x14ac:dyDescent="0.2">
      <c r="D136" t="s">
        <v>24</v>
      </c>
    </row>
    <row r="137" spans="4:4" x14ac:dyDescent="0.2">
      <c r="D137" t="s">
        <v>25</v>
      </c>
    </row>
    <row r="138" spans="4:4" x14ac:dyDescent="0.2">
      <c r="D138" t="s">
        <v>26</v>
      </c>
    </row>
    <row r="139" spans="4:4" x14ac:dyDescent="0.2">
      <c r="D139" t="s">
        <v>27</v>
      </c>
    </row>
    <row r="140" spans="4:4" x14ac:dyDescent="0.2">
      <c r="D140" s="86" t="s">
        <v>28</v>
      </c>
    </row>
  </sheetData>
  <mergeCells count="85">
    <mergeCell ref="U47:AB47"/>
    <mergeCell ref="D77:N77"/>
    <mergeCell ref="Q77:U77"/>
    <mergeCell ref="G83:K83"/>
    <mergeCell ref="V83:Y83"/>
    <mergeCell ref="D69:AH69"/>
    <mergeCell ref="O72:P72"/>
    <mergeCell ref="S72:U72"/>
    <mergeCell ref="V72:W72"/>
    <mergeCell ref="Z72:AD72"/>
    <mergeCell ref="D71:AF71"/>
    <mergeCell ref="D75:AH75"/>
    <mergeCell ref="W53:X53"/>
    <mergeCell ref="D65:E65"/>
    <mergeCell ref="X77:Z77"/>
    <mergeCell ref="H53:J53"/>
    <mergeCell ref="M53:O53"/>
    <mergeCell ref="P53:Q53"/>
    <mergeCell ref="T53:V53"/>
    <mergeCell ref="W48:X48"/>
    <mergeCell ref="D117:AH117"/>
    <mergeCell ref="D107:AH107"/>
    <mergeCell ref="D111:AH111"/>
    <mergeCell ref="M78:N78"/>
    <mergeCell ref="X78:AH78"/>
    <mergeCell ref="D105:AH105"/>
    <mergeCell ref="J78:L78"/>
    <mergeCell ref="D101:AF101"/>
    <mergeCell ref="D81:AH81"/>
    <mergeCell ref="AB83:AF83"/>
    <mergeCell ref="D87:AH87"/>
    <mergeCell ref="D89:AE89"/>
    <mergeCell ref="D93:AH93"/>
    <mergeCell ref="D95:AH95"/>
    <mergeCell ref="D99:AH99"/>
    <mergeCell ref="N83:R83"/>
    <mergeCell ref="BL64:CP64"/>
    <mergeCell ref="H66:I66"/>
    <mergeCell ref="V66:X66"/>
    <mergeCell ref="Y66:Z66"/>
    <mergeCell ref="G65:AH65"/>
    <mergeCell ref="L55:R55"/>
    <mergeCell ref="D57:AH57"/>
    <mergeCell ref="Q60:S60"/>
    <mergeCell ref="T60:U60"/>
    <mergeCell ref="D63:AH63"/>
    <mergeCell ref="D59:G59"/>
    <mergeCell ref="L59:N59"/>
    <mergeCell ref="E35:AH35"/>
    <mergeCell ref="D39:AH39"/>
    <mergeCell ref="D41:AG41"/>
    <mergeCell ref="B45:C115"/>
    <mergeCell ref="D45:AH45"/>
    <mergeCell ref="P48:R48"/>
    <mergeCell ref="S48:T48"/>
    <mergeCell ref="D51:AH51"/>
    <mergeCell ref="D113:AG113"/>
    <mergeCell ref="AG47:AH47"/>
    <mergeCell ref="AD47:AF47"/>
    <mergeCell ref="D47:F47"/>
    <mergeCell ref="I47:M47"/>
    <mergeCell ref="AA53:AE53"/>
    <mergeCell ref="AE77:AG77"/>
    <mergeCell ref="Q47:T47"/>
    <mergeCell ref="D1:AH1"/>
    <mergeCell ref="D4:AH4"/>
    <mergeCell ref="D8:AH8"/>
    <mergeCell ref="D11:AA11"/>
    <mergeCell ref="AB11:AH11"/>
    <mergeCell ref="P13:R13"/>
    <mergeCell ref="Q59:AG59"/>
    <mergeCell ref="D29:F29"/>
    <mergeCell ref="G29:AF29"/>
    <mergeCell ref="D15:AH15"/>
    <mergeCell ref="E17:M17"/>
    <mergeCell ref="N17:AE17"/>
    <mergeCell ref="Y18:AE18"/>
    <mergeCell ref="D21:AH21"/>
    <mergeCell ref="D23:AH23"/>
    <mergeCell ref="D24:K24"/>
    <mergeCell ref="L24:W24"/>
    <mergeCell ref="Z24:AB24"/>
    <mergeCell ref="AC24:AE24"/>
    <mergeCell ref="D27:AH27"/>
    <mergeCell ref="D33:AH33"/>
  </mergeCells>
  <pageMargins left="0.7" right="0.7" top="0.75" bottom="0.75" header="0.3" footer="0.3"/>
  <pageSetup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F534-EDB3-914C-A6B3-D3EA075717F4}">
  <sheetPr>
    <pageSetUpPr fitToPage="1"/>
  </sheetPr>
  <dimension ref="A1:CQ140"/>
  <sheetViews>
    <sheetView topLeftCell="A55" zoomScale="80" zoomScaleNormal="80" workbookViewId="0">
      <selection activeCell="AH49" sqref="AH49"/>
    </sheetView>
  </sheetViews>
  <sheetFormatPr defaultRowHeight="15" x14ac:dyDescent="0.2"/>
  <cols>
    <col min="4" max="4" width="10.4921875" bestFit="1" customWidth="1"/>
    <col min="21" max="21" width="10.625" customWidth="1"/>
    <col min="36" max="36" width="15.19921875" style="168" customWidth="1"/>
    <col min="37" max="37" width="15.46875" style="168" customWidth="1"/>
    <col min="38" max="38" width="13.5859375" style="50" bestFit="1" customWidth="1"/>
    <col min="39" max="39" width="8.609375" style="168"/>
    <col min="40" max="40" width="8.609375" style="25"/>
  </cols>
  <sheetData>
    <row r="1" spans="5:40" x14ac:dyDescent="0.2">
      <c r="E1" s="194">
        <v>45992</v>
      </c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6"/>
      <c r="AL1" s="47">
        <v>68</v>
      </c>
      <c r="AM1" s="23"/>
      <c r="AN1" s="24"/>
    </row>
    <row r="2" spans="5:40" x14ac:dyDescent="0.2">
      <c r="E2" s="111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L2" s="47"/>
      <c r="AM2" s="23"/>
      <c r="AN2" s="24"/>
    </row>
    <row r="3" spans="5:40" x14ac:dyDescent="0.2">
      <c r="E3" s="30">
        <v>1</v>
      </c>
      <c r="F3" s="31">
        <v>2</v>
      </c>
      <c r="G3" s="31">
        <v>3</v>
      </c>
      <c r="H3" s="31">
        <v>4</v>
      </c>
      <c r="I3" s="31">
        <v>5</v>
      </c>
      <c r="J3" s="10">
        <v>6</v>
      </c>
      <c r="K3" s="10">
        <v>7</v>
      </c>
      <c r="L3" s="31">
        <v>8</v>
      </c>
      <c r="M3" s="31">
        <v>9</v>
      </c>
      <c r="N3" s="31">
        <v>10</v>
      </c>
      <c r="O3" s="31">
        <v>11</v>
      </c>
      <c r="P3" s="31">
        <v>12</v>
      </c>
      <c r="Q3" s="10">
        <v>13</v>
      </c>
      <c r="R3" s="10">
        <v>14</v>
      </c>
      <c r="S3" s="31">
        <v>15</v>
      </c>
      <c r="T3" s="31">
        <v>16</v>
      </c>
      <c r="U3" s="31">
        <v>17</v>
      </c>
      <c r="V3" s="31">
        <v>18</v>
      </c>
      <c r="W3" s="31">
        <v>19</v>
      </c>
      <c r="X3" s="10">
        <v>20</v>
      </c>
      <c r="Y3" s="10">
        <v>21</v>
      </c>
      <c r="Z3" s="31">
        <v>22</v>
      </c>
      <c r="AA3" s="31">
        <v>23</v>
      </c>
      <c r="AB3" s="31">
        <v>24</v>
      </c>
      <c r="AC3" s="31">
        <v>25</v>
      </c>
      <c r="AD3" s="31">
        <v>26</v>
      </c>
      <c r="AE3" s="10">
        <v>27</v>
      </c>
      <c r="AF3" s="10">
        <v>28</v>
      </c>
      <c r="AG3" s="31">
        <v>29</v>
      </c>
      <c r="AH3" s="31">
        <v>30</v>
      </c>
      <c r="AI3" s="34">
        <v>31</v>
      </c>
      <c r="AL3" s="47"/>
      <c r="AM3" s="23"/>
      <c r="AN3" s="24"/>
    </row>
    <row r="4" spans="5:40" x14ac:dyDescent="0.2">
      <c r="E4" s="223" t="s">
        <v>5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5"/>
      <c r="AL4" s="47"/>
      <c r="AM4" s="23"/>
      <c r="AN4" s="24"/>
    </row>
    <row r="5" spans="5:40" ht="15.75" thickBot="1" x14ac:dyDescent="0.25">
      <c r="E5" s="30"/>
      <c r="F5" s="31"/>
      <c r="G5" s="31"/>
      <c r="H5" s="31"/>
      <c r="I5" s="31"/>
      <c r="J5" s="10"/>
      <c r="K5" s="10"/>
      <c r="L5" s="31"/>
      <c r="M5" s="31"/>
      <c r="N5" s="31"/>
      <c r="O5" s="31"/>
      <c r="P5" s="31"/>
      <c r="Q5" s="10"/>
      <c r="R5" s="10"/>
      <c r="S5" s="31"/>
      <c r="T5" s="31"/>
      <c r="U5" s="31"/>
      <c r="V5" s="31"/>
      <c r="W5" s="31"/>
      <c r="X5" s="10"/>
      <c r="Y5" s="10"/>
      <c r="Z5" s="31"/>
      <c r="AA5" s="31"/>
      <c r="AB5" s="31"/>
      <c r="AC5" s="31"/>
      <c r="AD5" s="31"/>
      <c r="AE5" s="10"/>
      <c r="AF5" s="10"/>
      <c r="AG5" s="31"/>
      <c r="AH5" s="31"/>
      <c r="AI5" s="34"/>
      <c r="AL5" s="47"/>
      <c r="AM5" s="23"/>
      <c r="AN5" s="24"/>
    </row>
    <row r="6" spans="5:40" ht="15.75" thickBot="1" x14ac:dyDescent="0.25">
      <c r="E6" s="32"/>
      <c r="F6" s="33"/>
      <c r="G6" s="33"/>
      <c r="H6" s="33"/>
      <c r="I6" s="33"/>
      <c r="J6" s="11"/>
      <c r="K6" s="11"/>
      <c r="L6" s="33"/>
      <c r="M6" s="33"/>
      <c r="N6" s="33"/>
      <c r="O6" s="33"/>
      <c r="P6" s="33"/>
      <c r="Q6" s="11"/>
      <c r="R6" s="11"/>
      <c r="S6" s="33"/>
      <c r="T6" s="33"/>
      <c r="U6" s="33"/>
      <c r="V6" s="33"/>
      <c r="W6" s="33"/>
      <c r="X6" s="11"/>
      <c r="Y6" s="11"/>
      <c r="Z6" s="33"/>
      <c r="AA6" s="33"/>
      <c r="AB6" s="33"/>
      <c r="AC6" s="33"/>
      <c r="AD6" s="33"/>
      <c r="AE6" s="11"/>
      <c r="AF6" s="11"/>
      <c r="AG6" s="33"/>
      <c r="AH6" s="33"/>
      <c r="AI6" s="35"/>
      <c r="AL6" s="47"/>
      <c r="AM6" s="23"/>
      <c r="AN6" s="29">
        <v>0</v>
      </c>
    </row>
    <row r="7" spans="5:40" ht="15.75" thickBot="1" x14ac:dyDescent="0.25">
      <c r="AL7" s="47"/>
      <c r="AM7" s="23"/>
      <c r="AN7" s="24"/>
    </row>
    <row r="8" spans="5:40" x14ac:dyDescent="0.2">
      <c r="E8" s="194">
        <v>46023</v>
      </c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6"/>
      <c r="AL8" s="47">
        <f>SUM(AL1+2.5-AN6)</f>
        <v>70.5</v>
      </c>
      <c r="AM8" s="23"/>
      <c r="AN8" s="24"/>
    </row>
    <row r="9" spans="5:40" x14ac:dyDescent="0.2">
      <c r="E9" s="111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3"/>
      <c r="AL9" s="47"/>
      <c r="AM9" s="23"/>
      <c r="AN9" s="24"/>
    </row>
    <row r="10" spans="5:40" x14ac:dyDescent="0.2">
      <c r="E10" s="30">
        <v>1</v>
      </c>
      <c r="F10" s="31">
        <v>2</v>
      </c>
      <c r="G10" s="38">
        <v>3</v>
      </c>
      <c r="H10" s="38">
        <v>4</v>
      </c>
      <c r="I10" s="31">
        <v>5</v>
      </c>
      <c r="J10" s="31">
        <v>6</v>
      </c>
      <c r="K10" s="31">
        <v>7</v>
      </c>
      <c r="L10" s="31">
        <v>8</v>
      </c>
      <c r="M10" s="31">
        <v>9</v>
      </c>
      <c r="N10" s="38">
        <v>10</v>
      </c>
      <c r="O10" s="38">
        <v>11</v>
      </c>
      <c r="P10" s="31">
        <v>12</v>
      </c>
      <c r="Q10" s="31">
        <v>13</v>
      </c>
      <c r="R10" s="31">
        <v>14</v>
      </c>
      <c r="S10" s="31">
        <v>15</v>
      </c>
      <c r="T10" s="31">
        <v>16</v>
      </c>
      <c r="U10" s="38">
        <v>17</v>
      </c>
      <c r="V10" s="38">
        <v>18</v>
      </c>
      <c r="W10" s="31">
        <v>19</v>
      </c>
      <c r="X10" s="31">
        <v>20</v>
      </c>
      <c r="Y10" s="31">
        <v>21</v>
      </c>
      <c r="Z10" s="31">
        <v>22</v>
      </c>
      <c r="AA10" s="31">
        <v>23</v>
      </c>
      <c r="AB10" s="38">
        <v>24</v>
      </c>
      <c r="AC10" s="38">
        <v>25</v>
      </c>
      <c r="AD10" s="31">
        <v>26</v>
      </c>
      <c r="AE10" s="31">
        <v>27</v>
      </c>
      <c r="AF10" s="31">
        <v>28</v>
      </c>
      <c r="AG10" s="31">
        <v>29</v>
      </c>
      <c r="AH10" s="31">
        <v>30</v>
      </c>
      <c r="AI10" s="40">
        <v>31</v>
      </c>
      <c r="AL10" s="47"/>
      <c r="AM10" s="23"/>
      <c r="AN10" s="24"/>
    </row>
    <row r="11" spans="5:40" x14ac:dyDescent="0.2">
      <c r="E11" s="223" t="s">
        <v>5</v>
      </c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6"/>
      <c r="AC11" s="227" t="s">
        <v>37</v>
      </c>
      <c r="AD11" s="228"/>
      <c r="AE11" s="228"/>
      <c r="AF11" s="228"/>
      <c r="AG11" s="228"/>
      <c r="AH11" s="228"/>
      <c r="AI11" s="229"/>
      <c r="AL11" s="47"/>
      <c r="AM11" s="23"/>
      <c r="AN11" s="24"/>
    </row>
    <row r="12" spans="5:40" ht="15.75" thickBot="1" x14ac:dyDescent="0.25">
      <c r="E12" s="30"/>
      <c r="F12" s="31"/>
      <c r="G12" s="38"/>
      <c r="H12" s="38"/>
      <c r="I12" s="31"/>
      <c r="J12" s="31"/>
      <c r="K12" s="31"/>
      <c r="L12" s="31"/>
      <c r="M12" s="31"/>
      <c r="N12" s="38"/>
      <c r="O12" s="38"/>
      <c r="P12" s="31"/>
      <c r="Q12" s="31"/>
      <c r="R12" s="31"/>
      <c r="S12" s="31"/>
      <c r="T12" s="31"/>
      <c r="U12" s="38"/>
      <c r="V12" s="38"/>
      <c r="W12" s="31"/>
      <c r="X12" s="31"/>
      <c r="Y12" s="31"/>
      <c r="Z12" s="31"/>
      <c r="AA12" s="33"/>
      <c r="AB12" s="39"/>
      <c r="AC12" s="39"/>
      <c r="AD12" s="33"/>
      <c r="AE12" s="33"/>
      <c r="AF12" s="33"/>
      <c r="AG12" s="33"/>
      <c r="AH12" s="33"/>
      <c r="AI12" s="41"/>
      <c r="AL12" s="47"/>
      <c r="AM12" s="23"/>
      <c r="AN12" s="24"/>
    </row>
    <row r="13" spans="5:40" ht="15.75" thickBot="1" x14ac:dyDescent="0.25">
      <c r="E13" s="32"/>
      <c r="F13" s="33"/>
      <c r="G13" s="39"/>
      <c r="H13" s="39"/>
      <c r="I13" s="33"/>
      <c r="J13" s="33"/>
      <c r="K13" s="33"/>
      <c r="L13" s="33"/>
      <c r="M13" s="33"/>
      <c r="N13" s="39"/>
      <c r="O13" s="39"/>
      <c r="P13" s="45"/>
      <c r="Q13" s="221" t="s">
        <v>8</v>
      </c>
      <c r="R13" s="222"/>
      <c r="S13" s="222"/>
      <c r="T13" s="46"/>
      <c r="U13" s="39"/>
      <c r="V13" s="39"/>
      <c r="W13" s="33"/>
      <c r="X13" s="33"/>
      <c r="Y13" s="33"/>
      <c r="Z13" s="33"/>
      <c r="AA13" s="33"/>
      <c r="AB13" s="39"/>
      <c r="AC13" s="39"/>
      <c r="AD13" s="33"/>
      <c r="AE13" s="33"/>
      <c r="AF13" s="33"/>
      <c r="AG13" s="33"/>
      <c r="AH13" s="33"/>
      <c r="AI13" s="41"/>
      <c r="AL13" s="47"/>
      <c r="AM13" s="23"/>
      <c r="AN13" s="29">
        <v>7</v>
      </c>
    </row>
    <row r="14" spans="5:40" ht="15.75" thickBot="1" x14ac:dyDescent="0.25">
      <c r="AL14" s="47"/>
      <c r="AM14" s="23"/>
      <c r="AN14" s="24"/>
    </row>
    <row r="15" spans="5:40" x14ac:dyDescent="0.2">
      <c r="E15" s="194">
        <v>46054</v>
      </c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6"/>
      <c r="AL15" s="47">
        <f>SUM(AL8+2.5-AN13)</f>
        <v>66</v>
      </c>
      <c r="AM15" s="23"/>
      <c r="AN15" s="24"/>
    </row>
    <row r="16" spans="5:40" x14ac:dyDescent="0.2">
      <c r="E16" s="42">
        <v>1</v>
      </c>
      <c r="F16" s="1">
        <v>2</v>
      </c>
      <c r="G16" s="1">
        <v>3</v>
      </c>
      <c r="H16" s="1">
        <v>4</v>
      </c>
      <c r="I16" s="31">
        <v>5</v>
      </c>
      <c r="J16" s="31">
        <v>6</v>
      </c>
      <c r="K16" s="38">
        <v>7</v>
      </c>
      <c r="L16" s="38">
        <v>8</v>
      </c>
      <c r="M16" s="31">
        <v>9</v>
      </c>
      <c r="N16" s="31">
        <v>10</v>
      </c>
      <c r="O16" s="31">
        <v>11</v>
      </c>
      <c r="P16" s="31">
        <v>12</v>
      </c>
      <c r="Q16" s="31">
        <v>13</v>
      </c>
      <c r="R16" s="38">
        <v>14</v>
      </c>
      <c r="S16" s="38">
        <v>15</v>
      </c>
      <c r="T16" s="31">
        <v>16</v>
      </c>
      <c r="U16" s="31">
        <v>17</v>
      </c>
      <c r="V16" s="31">
        <v>18</v>
      </c>
      <c r="W16" s="31">
        <v>19</v>
      </c>
      <c r="X16" s="31">
        <v>20</v>
      </c>
      <c r="Y16" s="38">
        <v>21</v>
      </c>
      <c r="Z16" s="38">
        <v>22</v>
      </c>
      <c r="AA16" s="31">
        <v>23</v>
      </c>
      <c r="AB16" s="31">
        <v>24</v>
      </c>
      <c r="AC16" s="31">
        <v>25</v>
      </c>
      <c r="AD16" s="31">
        <v>26</v>
      </c>
      <c r="AE16" s="31">
        <v>27</v>
      </c>
      <c r="AF16" s="38">
        <v>28</v>
      </c>
      <c r="AG16" s="38">
        <v>29</v>
      </c>
      <c r="AH16" s="1"/>
      <c r="AI16" s="5"/>
      <c r="AL16" s="47"/>
      <c r="AM16" s="23"/>
      <c r="AN16" s="24"/>
    </row>
    <row r="17" spans="5:42" x14ac:dyDescent="0.2">
      <c r="E17" s="18"/>
      <c r="F17" s="233" t="s">
        <v>5</v>
      </c>
      <c r="G17" s="224"/>
      <c r="H17" s="224"/>
      <c r="I17" s="224"/>
      <c r="J17" s="224"/>
      <c r="K17" s="224"/>
      <c r="L17" s="224"/>
      <c r="M17" s="224"/>
      <c r="N17" s="226"/>
      <c r="O17" s="234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6"/>
      <c r="AG17" s="38"/>
      <c r="AH17" s="1"/>
      <c r="AI17" s="5"/>
      <c r="AL17" s="47"/>
      <c r="AM17" s="23"/>
      <c r="AN17" s="24"/>
    </row>
    <row r="18" spans="5:42" ht="15.75" thickBot="1" x14ac:dyDescent="0.25">
      <c r="E18" s="18" t="s">
        <v>4</v>
      </c>
      <c r="F18" s="1"/>
      <c r="G18" s="1"/>
      <c r="H18" s="1"/>
      <c r="I18" s="31"/>
      <c r="J18" s="31"/>
      <c r="K18" s="38"/>
      <c r="L18" s="38"/>
      <c r="M18" s="31"/>
      <c r="N18" s="31"/>
      <c r="O18" s="31"/>
      <c r="P18" s="31"/>
      <c r="Q18" s="31"/>
      <c r="R18" s="38"/>
      <c r="S18" s="38"/>
      <c r="T18" s="31"/>
      <c r="U18" s="31"/>
      <c r="V18" s="31"/>
      <c r="W18" s="31"/>
      <c r="X18" s="31"/>
      <c r="Y18" s="38"/>
      <c r="Z18" s="237" t="s">
        <v>7</v>
      </c>
      <c r="AA18" s="238"/>
      <c r="AB18" s="238"/>
      <c r="AC18" s="238"/>
      <c r="AD18" s="238"/>
      <c r="AE18" s="238"/>
      <c r="AF18" s="238"/>
      <c r="AG18" s="110"/>
      <c r="AH18" s="1"/>
      <c r="AI18" s="5"/>
      <c r="AL18" s="47"/>
      <c r="AM18" s="23"/>
      <c r="AN18" s="24"/>
    </row>
    <row r="19" spans="5:42" ht="15.75" thickBot="1" x14ac:dyDescent="0.25">
      <c r="E19" s="19"/>
      <c r="F19" s="7"/>
      <c r="G19" s="7"/>
      <c r="H19" s="7"/>
      <c r="I19" s="33"/>
      <c r="J19" s="33"/>
      <c r="K19" s="39"/>
      <c r="L19" s="39"/>
      <c r="M19" s="22" t="s">
        <v>9</v>
      </c>
      <c r="N19" s="33"/>
      <c r="O19" s="33"/>
      <c r="P19" s="33"/>
      <c r="Q19" s="33"/>
      <c r="R19" s="39"/>
      <c r="S19" s="39"/>
      <c r="T19" s="33"/>
      <c r="U19" s="33"/>
      <c r="V19" s="33"/>
      <c r="W19" s="33"/>
      <c r="X19" s="33"/>
      <c r="Y19" s="39"/>
      <c r="Z19" s="39"/>
      <c r="AA19" s="33"/>
      <c r="AB19" s="33"/>
      <c r="AC19" s="33"/>
      <c r="AD19" s="33"/>
      <c r="AE19" s="33"/>
      <c r="AF19" s="39"/>
      <c r="AG19" s="39"/>
      <c r="AH19" s="7"/>
      <c r="AI19" s="8"/>
      <c r="AL19" s="47"/>
      <c r="AM19" s="23"/>
      <c r="AN19" s="29">
        <v>1</v>
      </c>
    </row>
    <row r="20" spans="5:42" ht="15.75" thickBot="1" x14ac:dyDescent="0.25">
      <c r="AL20" s="47"/>
      <c r="AM20" s="23"/>
      <c r="AN20" s="28"/>
    </row>
    <row r="21" spans="5:42" x14ac:dyDescent="0.2">
      <c r="E21" s="194">
        <v>46082</v>
      </c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6"/>
      <c r="AK21" s="168" t="s">
        <v>0</v>
      </c>
      <c r="AL21" s="47">
        <f>SUM(AL15+2.5-AN19)</f>
        <v>67.5</v>
      </c>
      <c r="AM21" s="23"/>
      <c r="AN21" s="24"/>
    </row>
    <row r="22" spans="5:42" x14ac:dyDescent="0.2">
      <c r="E22" s="42">
        <v>1</v>
      </c>
      <c r="F22" s="1">
        <v>2</v>
      </c>
      <c r="G22" s="31">
        <v>3</v>
      </c>
      <c r="H22" s="31">
        <v>4</v>
      </c>
      <c r="I22" s="31">
        <v>5</v>
      </c>
      <c r="J22" s="31">
        <v>6</v>
      </c>
      <c r="K22" s="38">
        <v>7</v>
      </c>
      <c r="L22" s="38">
        <v>8</v>
      </c>
      <c r="M22" s="31">
        <v>9</v>
      </c>
      <c r="N22" s="31">
        <v>10</v>
      </c>
      <c r="O22" s="31">
        <v>11</v>
      </c>
      <c r="P22" s="31">
        <v>12</v>
      </c>
      <c r="Q22" s="31">
        <v>13</v>
      </c>
      <c r="R22" s="38">
        <v>14</v>
      </c>
      <c r="S22" s="38">
        <v>15</v>
      </c>
      <c r="T22" s="31">
        <v>16</v>
      </c>
      <c r="U22" s="31">
        <v>17</v>
      </c>
      <c r="V22" s="31">
        <v>18</v>
      </c>
      <c r="W22" s="31">
        <v>19</v>
      </c>
      <c r="X22" s="31">
        <v>20</v>
      </c>
      <c r="Y22" s="38">
        <v>21</v>
      </c>
      <c r="Z22" s="38">
        <v>22</v>
      </c>
      <c r="AA22" s="31">
        <v>23</v>
      </c>
      <c r="AB22" s="31">
        <v>24</v>
      </c>
      <c r="AC22" s="31">
        <v>25</v>
      </c>
      <c r="AD22" s="31">
        <v>26</v>
      </c>
      <c r="AE22" s="31">
        <v>27</v>
      </c>
      <c r="AF22" s="38">
        <v>28</v>
      </c>
      <c r="AG22" s="38">
        <v>29</v>
      </c>
      <c r="AH22" s="31">
        <v>30</v>
      </c>
      <c r="AI22" s="34">
        <v>31</v>
      </c>
      <c r="AL22" s="47"/>
      <c r="AM22" s="23"/>
      <c r="AN22" s="24"/>
    </row>
    <row r="23" spans="5:42" x14ac:dyDescent="0.2">
      <c r="E23" s="223" t="s">
        <v>5</v>
      </c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5"/>
      <c r="AL23" s="47"/>
      <c r="AM23" s="23"/>
      <c r="AN23" s="24"/>
    </row>
    <row r="24" spans="5:42" ht="15.75" thickBot="1" x14ac:dyDescent="0.25">
      <c r="E24" s="237" t="s">
        <v>6</v>
      </c>
      <c r="F24" s="239"/>
      <c r="G24" s="239"/>
      <c r="H24" s="239"/>
      <c r="I24" s="239"/>
      <c r="J24" s="239"/>
      <c r="K24" s="239"/>
      <c r="L24" s="240"/>
      <c r="M24" s="241" t="s">
        <v>10</v>
      </c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3"/>
      <c r="Y24" s="38"/>
      <c r="Z24" s="38"/>
      <c r="AA24" s="237" t="s">
        <v>13</v>
      </c>
      <c r="AB24" s="239"/>
      <c r="AC24" s="239"/>
      <c r="AD24" s="237" t="s">
        <v>14</v>
      </c>
      <c r="AE24" s="239"/>
      <c r="AF24" s="239"/>
      <c r="AG24" s="39"/>
      <c r="AH24" s="31"/>
      <c r="AI24" s="34"/>
      <c r="AL24" s="47"/>
      <c r="AM24" s="23"/>
      <c r="AN24" s="24"/>
    </row>
    <row r="25" spans="5:42" ht="15.75" thickBot="1" x14ac:dyDescent="0.25">
      <c r="E25" s="43"/>
      <c r="F25" s="7"/>
      <c r="G25" s="33"/>
      <c r="H25" s="33"/>
      <c r="I25" s="33"/>
      <c r="J25" s="33"/>
      <c r="K25" s="39"/>
      <c r="L25" s="39"/>
      <c r="M25" s="33"/>
      <c r="N25" s="33"/>
      <c r="O25" s="33"/>
      <c r="P25" s="33"/>
      <c r="Q25" s="33"/>
      <c r="R25" s="39"/>
      <c r="S25" s="39"/>
      <c r="T25" s="33"/>
      <c r="U25" s="33"/>
      <c r="V25" s="33"/>
      <c r="W25" s="33"/>
      <c r="X25" s="33"/>
      <c r="Y25" s="39"/>
      <c r="Z25" s="39"/>
      <c r="AA25" s="33"/>
      <c r="AB25" s="33"/>
      <c r="AC25" s="33"/>
      <c r="AD25" s="33"/>
      <c r="AE25" s="33"/>
      <c r="AF25" s="39"/>
      <c r="AG25" s="39"/>
      <c r="AH25" s="33"/>
      <c r="AI25" s="35"/>
      <c r="AL25" s="47"/>
      <c r="AM25" s="23"/>
      <c r="AN25" s="29">
        <v>0</v>
      </c>
    </row>
    <row r="26" spans="5:42" ht="30" thickBot="1" x14ac:dyDescent="0.45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L26" s="47"/>
      <c r="AM26" s="23"/>
      <c r="AN26" s="28"/>
      <c r="AP26" s="126" t="s">
        <v>42</v>
      </c>
    </row>
    <row r="27" spans="5:42" ht="30" thickBot="1" x14ac:dyDescent="0.45">
      <c r="E27" s="190">
        <v>46113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2"/>
      <c r="AH27" s="192"/>
      <c r="AI27" s="193"/>
      <c r="AK27" s="168" t="s">
        <v>50</v>
      </c>
      <c r="AL27" s="47">
        <v>69</v>
      </c>
      <c r="AM27" s="23"/>
      <c r="AN27" s="24"/>
      <c r="AP27" s="126">
        <v>23</v>
      </c>
    </row>
    <row r="28" spans="5:42" ht="29.25" x14ac:dyDescent="0.4">
      <c r="E28" s="36">
        <v>1</v>
      </c>
      <c r="F28" s="37">
        <v>2</v>
      </c>
      <c r="G28" s="37">
        <v>3</v>
      </c>
      <c r="H28" s="44">
        <v>4</v>
      </c>
      <c r="I28" s="44">
        <v>5</v>
      </c>
      <c r="J28" s="37">
        <v>6</v>
      </c>
      <c r="K28" s="37">
        <v>7</v>
      </c>
      <c r="L28" s="37">
        <v>8</v>
      </c>
      <c r="M28" s="37">
        <v>9</v>
      </c>
      <c r="N28" s="37">
        <v>10</v>
      </c>
      <c r="O28" s="44">
        <v>11</v>
      </c>
      <c r="P28" s="44">
        <v>12</v>
      </c>
      <c r="Q28" s="37">
        <v>13</v>
      </c>
      <c r="R28" s="37">
        <v>14</v>
      </c>
      <c r="S28" s="37">
        <v>15</v>
      </c>
      <c r="T28" s="37">
        <v>16</v>
      </c>
      <c r="U28" s="37">
        <v>17</v>
      </c>
      <c r="V28" s="44">
        <v>18</v>
      </c>
      <c r="W28" s="44">
        <v>19</v>
      </c>
      <c r="X28" s="37">
        <v>20</v>
      </c>
      <c r="Y28" s="37">
        <v>21</v>
      </c>
      <c r="Z28" s="37">
        <v>22</v>
      </c>
      <c r="AA28" s="37">
        <v>23</v>
      </c>
      <c r="AB28" s="37">
        <v>24</v>
      </c>
      <c r="AC28" s="44">
        <v>25</v>
      </c>
      <c r="AD28" s="44">
        <v>26</v>
      </c>
      <c r="AE28" s="37">
        <v>27</v>
      </c>
      <c r="AF28" s="37">
        <v>28</v>
      </c>
      <c r="AG28" s="37">
        <v>29</v>
      </c>
      <c r="AH28" s="2">
        <v>30</v>
      </c>
      <c r="AI28" s="3"/>
      <c r="AL28" s="47"/>
      <c r="AM28" s="23"/>
      <c r="AN28" s="24"/>
      <c r="AP28" s="126"/>
    </row>
    <row r="29" spans="5:42" ht="29.25" customHeight="1" x14ac:dyDescent="0.4">
      <c r="E29" s="230" t="s">
        <v>19</v>
      </c>
      <c r="F29" s="231"/>
      <c r="G29" s="232"/>
      <c r="H29" s="223" t="s">
        <v>5</v>
      </c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157"/>
      <c r="AI29" s="71"/>
      <c r="AL29" s="47"/>
      <c r="AM29" s="23"/>
      <c r="AN29" s="24"/>
      <c r="AP29" s="126"/>
    </row>
    <row r="30" spans="5:42" ht="30" thickBot="1" x14ac:dyDescent="0.45">
      <c r="E30" s="30"/>
      <c r="F30" s="31"/>
      <c r="G30" s="31"/>
      <c r="H30" s="38"/>
      <c r="I30" s="38"/>
      <c r="J30" s="31"/>
      <c r="K30" s="31"/>
      <c r="L30" s="31"/>
      <c r="M30" s="31"/>
      <c r="N30" s="31"/>
      <c r="O30" s="38"/>
      <c r="P30" s="38"/>
      <c r="Q30" s="31"/>
      <c r="R30" s="31"/>
      <c r="S30" s="31"/>
      <c r="T30" s="31"/>
      <c r="U30" s="31"/>
      <c r="V30" s="38"/>
      <c r="W30" s="38"/>
      <c r="X30" s="33"/>
      <c r="Y30" s="33"/>
      <c r="Z30" s="33"/>
      <c r="AA30" s="33"/>
      <c r="AB30" s="33"/>
      <c r="AC30" s="39"/>
      <c r="AD30" s="39"/>
      <c r="AE30" s="33"/>
      <c r="AF30" s="33"/>
      <c r="AG30" s="33"/>
      <c r="AH30" s="7"/>
      <c r="AI30" s="8"/>
      <c r="AL30" s="47"/>
      <c r="AM30" s="23"/>
      <c r="AN30" s="24"/>
      <c r="AP30" s="126"/>
    </row>
    <row r="31" spans="5:42" ht="30" thickBot="1" x14ac:dyDescent="0.45">
      <c r="E31" s="32"/>
      <c r="F31" s="33"/>
      <c r="G31" s="33"/>
      <c r="H31" s="39"/>
      <c r="I31" s="39"/>
      <c r="J31" s="33"/>
      <c r="K31" s="33"/>
      <c r="L31" s="33"/>
      <c r="M31" s="33"/>
      <c r="N31" s="33"/>
      <c r="O31" s="39"/>
      <c r="P31" s="39"/>
      <c r="Q31" s="33"/>
      <c r="R31" s="33"/>
      <c r="S31" s="33"/>
      <c r="T31" s="33"/>
      <c r="U31" s="33"/>
      <c r="V31" s="39"/>
      <c r="W31" s="39"/>
      <c r="X31" s="33"/>
      <c r="Y31" s="33"/>
      <c r="Z31" s="33"/>
      <c r="AA31" s="33"/>
      <c r="AB31" s="33"/>
      <c r="AC31" s="39"/>
      <c r="AD31" s="39"/>
      <c r="AE31" s="33"/>
      <c r="AF31" s="33"/>
      <c r="AG31" s="33"/>
      <c r="AH31" s="7"/>
      <c r="AI31" s="8"/>
      <c r="AL31" s="47"/>
      <c r="AM31" s="23"/>
      <c r="AN31" s="29">
        <v>4</v>
      </c>
      <c r="AP31" s="126">
        <f>SUM(AP27-AN31)</f>
        <v>19</v>
      </c>
    </row>
    <row r="32" spans="5:42" ht="30" thickBot="1" x14ac:dyDescent="0.45">
      <c r="AL32" s="47"/>
      <c r="AM32" s="23"/>
      <c r="AN32" s="24"/>
      <c r="AP32" s="126"/>
    </row>
    <row r="33" spans="2:42" ht="29.25" x14ac:dyDescent="0.4">
      <c r="E33" s="194">
        <v>46143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6"/>
      <c r="AK33" s="168" t="s">
        <v>51</v>
      </c>
      <c r="AL33" s="47">
        <v>68</v>
      </c>
      <c r="AM33" s="23"/>
      <c r="AN33" s="24"/>
      <c r="AP33" s="126"/>
    </row>
    <row r="34" spans="2:42" ht="29.25" x14ac:dyDescent="0.4">
      <c r="E34" s="4">
        <v>1</v>
      </c>
      <c r="F34" s="38">
        <v>2</v>
      </c>
      <c r="G34" s="38">
        <v>3</v>
      </c>
      <c r="H34" s="31">
        <v>4</v>
      </c>
      <c r="I34" s="31">
        <v>5</v>
      </c>
      <c r="J34" s="31">
        <v>6</v>
      </c>
      <c r="K34" s="31">
        <v>7</v>
      </c>
      <c r="L34" s="31">
        <v>8</v>
      </c>
      <c r="M34" s="38">
        <v>9</v>
      </c>
      <c r="N34" s="38">
        <v>10</v>
      </c>
      <c r="O34" s="31">
        <v>11</v>
      </c>
      <c r="P34" s="31">
        <v>12</v>
      </c>
      <c r="Q34" s="31">
        <v>13</v>
      </c>
      <c r="R34" s="31">
        <v>14</v>
      </c>
      <c r="S34" s="31">
        <v>15</v>
      </c>
      <c r="T34" s="38">
        <v>16</v>
      </c>
      <c r="U34" s="38">
        <v>17</v>
      </c>
      <c r="V34" s="31">
        <v>18</v>
      </c>
      <c r="W34" s="31">
        <v>19</v>
      </c>
      <c r="X34" s="31">
        <v>20</v>
      </c>
      <c r="Y34" s="31">
        <v>21</v>
      </c>
      <c r="Z34" s="31">
        <v>22</v>
      </c>
      <c r="AA34" s="38">
        <v>23</v>
      </c>
      <c r="AB34" s="38">
        <v>24</v>
      </c>
      <c r="AC34" s="31">
        <v>25</v>
      </c>
      <c r="AD34" s="31">
        <v>26</v>
      </c>
      <c r="AE34" s="31">
        <v>27</v>
      </c>
      <c r="AF34" s="31">
        <v>28</v>
      </c>
      <c r="AG34" s="31">
        <v>29</v>
      </c>
      <c r="AH34" s="38">
        <v>30</v>
      </c>
      <c r="AI34" s="40">
        <v>31</v>
      </c>
      <c r="AL34" s="47"/>
      <c r="AM34" s="23"/>
      <c r="AN34" s="24"/>
      <c r="AP34" s="126"/>
    </row>
    <row r="35" spans="2:42" ht="29.25" x14ac:dyDescent="0.4">
      <c r="E35" s="158" t="s">
        <v>87</v>
      </c>
      <c r="F35" s="223" t="s">
        <v>5</v>
      </c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5"/>
      <c r="AL35" s="47"/>
      <c r="AM35" s="23"/>
      <c r="AN35" s="24"/>
      <c r="AP35" s="126"/>
    </row>
    <row r="36" spans="2:42" ht="30" thickBot="1" x14ac:dyDescent="0.45">
      <c r="E36" s="4"/>
      <c r="F36" s="38"/>
      <c r="G36" s="38"/>
      <c r="H36" s="31"/>
      <c r="I36" s="31"/>
      <c r="J36" s="31"/>
      <c r="K36" s="31"/>
      <c r="L36" s="31"/>
      <c r="M36" s="38"/>
      <c r="N36" s="38"/>
      <c r="O36" s="31"/>
      <c r="P36" s="31"/>
      <c r="Q36" s="31"/>
      <c r="R36" s="31"/>
      <c r="S36" s="31"/>
      <c r="T36" s="38"/>
      <c r="U36" s="38"/>
      <c r="V36" s="31"/>
      <c r="W36" s="31"/>
      <c r="X36" s="31"/>
      <c r="Y36" s="31"/>
      <c r="Z36" s="31"/>
      <c r="AA36" s="38"/>
      <c r="AB36" s="38"/>
      <c r="AC36" s="31"/>
      <c r="AD36" s="31"/>
      <c r="AE36" s="31"/>
      <c r="AF36" s="31"/>
      <c r="AG36" s="31"/>
      <c r="AH36" s="38"/>
      <c r="AI36" s="40"/>
      <c r="AL36" s="47"/>
      <c r="AM36" s="23"/>
      <c r="AN36" s="24"/>
      <c r="AP36" s="126"/>
    </row>
    <row r="37" spans="2:42" ht="30" thickBot="1" x14ac:dyDescent="0.45">
      <c r="E37" s="6"/>
      <c r="F37" s="39"/>
      <c r="G37" s="39"/>
      <c r="H37" s="33"/>
      <c r="I37" s="33"/>
      <c r="J37" s="33"/>
      <c r="K37" s="33"/>
      <c r="L37" s="33"/>
      <c r="M37" s="39"/>
      <c r="N37" s="39"/>
      <c r="O37" s="33"/>
      <c r="P37" s="33"/>
      <c r="Q37" s="33"/>
      <c r="R37" s="33"/>
      <c r="S37" s="33"/>
      <c r="T37" s="39"/>
      <c r="U37" s="39"/>
      <c r="V37" s="33"/>
      <c r="W37" s="33"/>
      <c r="X37" s="33"/>
      <c r="Y37" s="33"/>
      <c r="Z37" s="33"/>
      <c r="AA37" s="39"/>
      <c r="AB37" s="39"/>
      <c r="AC37" s="33"/>
      <c r="AD37" s="33"/>
      <c r="AE37" s="33"/>
      <c r="AF37" s="33"/>
      <c r="AG37" s="33"/>
      <c r="AH37" s="39"/>
      <c r="AI37" s="41"/>
      <c r="AL37" s="47"/>
      <c r="AM37" s="23"/>
      <c r="AN37" s="29">
        <v>1</v>
      </c>
      <c r="AP37" s="126">
        <f>SUM(AP31-AN37)</f>
        <v>18</v>
      </c>
    </row>
    <row r="38" spans="2:42" ht="30" thickBot="1" x14ac:dyDescent="0.4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L38" s="47"/>
      <c r="AM38" s="23"/>
      <c r="AN38" s="24"/>
      <c r="AP38" s="126"/>
    </row>
    <row r="39" spans="2:42" ht="30" thickBot="1" x14ac:dyDescent="0.45">
      <c r="E39" s="190">
        <v>46174</v>
      </c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2"/>
      <c r="AH39" s="192"/>
      <c r="AI39" s="193"/>
      <c r="AK39" s="168" t="s">
        <v>52</v>
      </c>
      <c r="AL39" s="47">
        <f>SUM(AL33+2.5-AN37)</f>
        <v>69.5</v>
      </c>
      <c r="AM39" s="23"/>
      <c r="AN39" s="24"/>
      <c r="AP39" s="126"/>
    </row>
    <row r="40" spans="2:42" ht="29.25" x14ac:dyDescent="0.4">
      <c r="E40" s="36">
        <v>1</v>
      </c>
      <c r="F40" s="37">
        <v>2</v>
      </c>
      <c r="G40" s="37">
        <v>3</v>
      </c>
      <c r="H40" s="37">
        <v>4</v>
      </c>
      <c r="I40" s="37">
        <v>5</v>
      </c>
      <c r="J40" s="44">
        <v>6</v>
      </c>
      <c r="K40" s="44">
        <v>7</v>
      </c>
      <c r="L40" s="37">
        <v>8</v>
      </c>
      <c r="M40" s="37">
        <v>9</v>
      </c>
      <c r="N40" s="37">
        <v>10</v>
      </c>
      <c r="O40" s="37">
        <v>11</v>
      </c>
      <c r="P40" s="37">
        <v>12</v>
      </c>
      <c r="Q40" s="44">
        <v>13</v>
      </c>
      <c r="R40" s="44">
        <v>14</v>
      </c>
      <c r="S40" s="37">
        <v>15</v>
      </c>
      <c r="T40" s="37">
        <v>16</v>
      </c>
      <c r="U40" s="37">
        <v>17</v>
      </c>
      <c r="V40" s="37">
        <v>18</v>
      </c>
      <c r="W40" s="37">
        <v>19</v>
      </c>
      <c r="X40" s="44">
        <v>20</v>
      </c>
      <c r="Y40" s="44">
        <v>21</v>
      </c>
      <c r="Z40" s="37">
        <v>22</v>
      </c>
      <c r="AA40" s="37">
        <v>23</v>
      </c>
      <c r="AB40" s="37">
        <v>24</v>
      </c>
      <c r="AC40" s="37">
        <v>25</v>
      </c>
      <c r="AD40" s="37">
        <v>26</v>
      </c>
      <c r="AE40" s="44">
        <v>27</v>
      </c>
      <c r="AF40" s="44">
        <v>28</v>
      </c>
      <c r="AG40" s="37">
        <v>29</v>
      </c>
      <c r="AH40" s="2">
        <v>30</v>
      </c>
      <c r="AI40" s="3"/>
      <c r="AL40" s="47"/>
      <c r="AM40" s="23"/>
      <c r="AN40" s="24"/>
      <c r="AP40" s="126"/>
    </row>
    <row r="41" spans="2:42" ht="29.25" x14ac:dyDescent="0.4">
      <c r="E41" s="223" t="s">
        <v>5</v>
      </c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6"/>
      <c r="AI41" s="5"/>
      <c r="AL41" s="47"/>
      <c r="AM41" s="23"/>
      <c r="AN41" s="24"/>
      <c r="AP41" s="126"/>
    </row>
    <row r="42" spans="2:42" ht="30" thickBot="1" x14ac:dyDescent="0.45">
      <c r="E42" s="30"/>
      <c r="F42" s="31"/>
      <c r="G42" s="31"/>
      <c r="H42" s="31"/>
      <c r="I42" s="31"/>
      <c r="J42" s="38"/>
      <c r="K42" s="38"/>
      <c r="L42" s="31"/>
      <c r="M42" s="31"/>
      <c r="N42" s="87" t="str">
        <f>(E140)</f>
        <v>VA Individual Appointments</v>
      </c>
      <c r="O42" s="31"/>
      <c r="P42" s="31"/>
      <c r="Q42" s="38"/>
      <c r="R42" s="38"/>
      <c r="S42" s="31"/>
      <c r="T42" s="31"/>
      <c r="U42" s="31"/>
      <c r="V42" s="31"/>
      <c r="W42" s="31"/>
      <c r="X42" s="38"/>
      <c r="Y42" s="38"/>
      <c r="Z42" s="31"/>
      <c r="AA42" s="31"/>
      <c r="AB42" s="31"/>
      <c r="AC42" s="31"/>
      <c r="AD42" s="31"/>
      <c r="AE42" s="38"/>
      <c r="AF42" s="38"/>
      <c r="AG42" s="31"/>
      <c r="AH42" s="1"/>
      <c r="AI42" s="5"/>
      <c r="AL42" s="47"/>
      <c r="AM42" s="23"/>
      <c r="AN42" s="24"/>
      <c r="AP42" s="126"/>
    </row>
    <row r="43" spans="2:42" ht="30" thickBot="1" x14ac:dyDescent="0.45">
      <c r="E43" s="32"/>
      <c r="F43" s="33"/>
      <c r="G43" s="33"/>
      <c r="H43" s="33"/>
      <c r="I43" s="33"/>
      <c r="J43" s="39"/>
      <c r="K43" s="39"/>
      <c r="L43" s="33"/>
      <c r="M43" s="33"/>
      <c r="N43" s="33"/>
      <c r="O43" s="33"/>
      <c r="P43" s="33"/>
      <c r="Q43" s="39"/>
      <c r="R43" s="39"/>
      <c r="S43" s="33"/>
      <c r="T43" s="33"/>
      <c r="U43" s="33"/>
      <c r="V43" s="33"/>
      <c r="W43" s="143" t="s">
        <v>91</v>
      </c>
      <c r="X43" s="127" t="s">
        <v>43</v>
      </c>
      <c r="Y43" s="39"/>
      <c r="Z43" s="33"/>
      <c r="AA43" s="33"/>
      <c r="AB43" s="33"/>
      <c r="AC43" s="33"/>
      <c r="AD43" s="33"/>
      <c r="AE43" s="39"/>
      <c r="AF43" s="39"/>
      <c r="AG43" s="33"/>
      <c r="AH43" s="7"/>
      <c r="AI43" s="8"/>
      <c r="AL43" s="47"/>
      <c r="AM43" s="23"/>
      <c r="AN43" s="29">
        <v>0</v>
      </c>
      <c r="AP43" s="126">
        <f>SUM(AP37-AN43)</f>
        <v>18</v>
      </c>
    </row>
    <row r="44" spans="2:42" ht="30" thickBot="1" x14ac:dyDescent="0.45"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6"/>
      <c r="AK44" s="106"/>
      <c r="AL44" s="107"/>
      <c r="AM44" s="108"/>
      <c r="AN44" s="109"/>
      <c r="AP44" s="126"/>
    </row>
    <row r="45" spans="2:42" ht="29.25" customHeight="1" x14ac:dyDescent="0.4">
      <c r="B45" s="244" t="s">
        <v>39</v>
      </c>
      <c r="C45" s="244"/>
      <c r="D45" s="179"/>
      <c r="E45" s="194">
        <v>46204</v>
      </c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6"/>
      <c r="AK45" s="168" t="s">
        <v>53</v>
      </c>
      <c r="AL45" s="47">
        <f>SUM(AL39+2.5-AN43)</f>
        <v>72</v>
      </c>
      <c r="AM45" s="23"/>
      <c r="AN45" s="24"/>
      <c r="AP45" s="126"/>
    </row>
    <row r="46" spans="2:42" ht="29.25" x14ac:dyDescent="0.4">
      <c r="B46" s="244"/>
      <c r="C46" s="244"/>
      <c r="D46" s="179"/>
      <c r="E46" s="4">
        <v>1</v>
      </c>
      <c r="F46" s="1">
        <v>2</v>
      </c>
      <c r="G46" s="1">
        <v>3</v>
      </c>
      <c r="H46" s="10">
        <v>4</v>
      </c>
      <c r="I46" s="10">
        <v>5</v>
      </c>
      <c r="J46" s="1">
        <v>6</v>
      </c>
      <c r="K46" s="1">
        <v>7</v>
      </c>
      <c r="L46" s="1">
        <v>8</v>
      </c>
      <c r="M46" s="1">
        <v>9</v>
      </c>
      <c r="N46" s="1">
        <v>10</v>
      </c>
      <c r="O46" s="10">
        <v>11</v>
      </c>
      <c r="P46" s="10">
        <v>12</v>
      </c>
      <c r="Q46" s="1">
        <v>13</v>
      </c>
      <c r="R46" s="1">
        <v>14</v>
      </c>
      <c r="S46" s="1">
        <v>15</v>
      </c>
      <c r="T46" s="1">
        <v>16</v>
      </c>
      <c r="U46" s="1">
        <v>17</v>
      </c>
      <c r="V46" s="10">
        <v>18</v>
      </c>
      <c r="W46" s="10">
        <v>19</v>
      </c>
      <c r="X46" s="1">
        <v>20</v>
      </c>
      <c r="Y46" s="1">
        <v>21</v>
      </c>
      <c r="Z46" s="1">
        <v>22</v>
      </c>
      <c r="AA46" s="1">
        <v>23</v>
      </c>
      <c r="AB46" s="1">
        <v>24</v>
      </c>
      <c r="AC46" s="10">
        <v>25</v>
      </c>
      <c r="AD46" s="10">
        <v>26</v>
      </c>
      <c r="AE46" s="1">
        <v>27</v>
      </c>
      <c r="AF46" s="1">
        <v>28</v>
      </c>
      <c r="AG46" s="1">
        <v>29</v>
      </c>
      <c r="AH46" s="1">
        <v>30</v>
      </c>
      <c r="AI46" s="5">
        <v>31</v>
      </c>
      <c r="AL46" s="47"/>
      <c r="AM46" s="23"/>
      <c r="AN46" s="24"/>
      <c r="AP46" s="126"/>
    </row>
    <row r="47" spans="2:42" ht="30" thickBot="1" x14ac:dyDescent="0.45">
      <c r="B47" s="244"/>
      <c r="C47" s="244"/>
      <c r="D47" s="179"/>
      <c r="E47" s="223" t="s">
        <v>140</v>
      </c>
      <c r="F47" s="224"/>
      <c r="G47" s="224"/>
      <c r="H47" s="10"/>
      <c r="I47" s="10"/>
      <c r="J47" s="224" t="s">
        <v>141</v>
      </c>
      <c r="K47" s="224"/>
      <c r="L47" s="224"/>
      <c r="M47" s="224"/>
      <c r="N47" s="224"/>
      <c r="O47" s="10"/>
      <c r="P47" s="10"/>
      <c r="Q47" s="66" t="s">
        <v>109</v>
      </c>
      <c r="R47" s="348" t="s">
        <v>143</v>
      </c>
      <c r="S47" s="337"/>
      <c r="T47" s="337"/>
      <c r="U47" s="338"/>
      <c r="V47" s="349" t="s">
        <v>172</v>
      </c>
      <c r="W47" s="307"/>
      <c r="X47" s="307"/>
      <c r="Y47" s="307"/>
      <c r="Z47" s="307"/>
      <c r="AA47" s="307"/>
      <c r="AB47" s="307"/>
      <c r="AC47" s="307"/>
      <c r="AD47" s="10"/>
      <c r="AE47" s="224" t="s">
        <v>141</v>
      </c>
      <c r="AF47" s="224"/>
      <c r="AG47" s="224"/>
      <c r="AH47" s="224"/>
      <c r="AI47" s="224"/>
      <c r="AL47" s="47"/>
      <c r="AM47" s="23"/>
      <c r="AN47" s="24"/>
      <c r="AP47" s="126"/>
    </row>
    <row r="48" spans="2:42" ht="30" thickBot="1" x14ac:dyDescent="0.45">
      <c r="B48" s="244"/>
      <c r="C48" s="244"/>
      <c r="D48" s="179"/>
      <c r="E48" s="4"/>
      <c r="F48" s="1"/>
      <c r="G48" s="1"/>
      <c r="H48" s="10"/>
      <c r="I48" s="10"/>
      <c r="J48" s="1"/>
      <c r="K48" s="90" t="str">
        <f>(E133)</f>
        <v>Pre Separation Brief</v>
      </c>
      <c r="L48" s="1"/>
      <c r="M48" s="1"/>
      <c r="N48" s="1"/>
      <c r="O48" s="10"/>
      <c r="P48" s="10"/>
      <c r="Q48" s="245" t="str">
        <f>(E134)</f>
        <v>Three-Day Transition Workshop</v>
      </c>
      <c r="R48" s="246"/>
      <c r="S48" s="247"/>
      <c r="T48" s="248" t="str">
        <f>(E137)</f>
        <v>Employment 2 Day Seminar</v>
      </c>
      <c r="U48" s="249"/>
      <c r="V48" s="10"/>
      <c r="W48" s="10"/>
      <c r="X48" s="182" t="str">
        <f>(E136)</f>
        <v>Career &amp; Credential Exploration 2 Day Seminar</v>
      </c>
      <c r="Y48" s="183"/>
      <c r="Z48" s="1"/>
      <c r="AA48" s="1"/>
      <c r="AB48" s="1"/>
      <c r="AC48" s="10"/>
      <c r="AD48" s="10"/>
      <c r="AE48" s="1"/>
      <c r="AF48" s="90" t="str">
        <f>(E133)</f>
        <v>Pre Separation Brief</v>
      </c>
      <c r="AG48" s="1"/>
      <c r="AH48" s="259" t="str">
        <f>(E138)</f>
        <v>Education  2 Day Seminar</v>
      </c>
      <c r="AI48" s="260"/>
      <c r="AL48" s="47"/>
      <c r="AM48" s="23"/>
      <c r="AN48" s="24"/>
      <c r="AP48" s="126"/>
    </row>
    <row r="49" spans="2:95" ht="30" thickBot="1" x14ac:dyDescent="0.45">
      <c r="B49" s="244"/>
      <c r="C49" s="244"/>
      <c r="D49" s="179"/>
      <c r="E49" s="6"/>
      <c r="F49" s="7"/>
      <c r="G49" s="22" t="s">
        <v>3</v>
      </c>
      <c r="H49" s="11"/>
      <c r="I49" s="11"/>
      <c r="J49" s="7"/>
      <c r="K49" s="7"/>
      <c r="L49" s="7"/>
      <c r="M49" s="7"/>
      <c r="N49" s="7"/>
      <c r="O49" s="11"/>
      <c r="P49" s="11"/>
      <c r="Q49" s="7"/>
      <c r="R49" s="7"/>
      <c r="S49" s="7"/>
      <c r="T49" s="76"/>
      <c r="U49" s="77"/>
      <c r="V49" s="11"/>
      <c r="W49" s="11"/>
      <c r="X49" s="7"/>
      <c r="Y49" s="7"/>
      <c r="Z49" s="7"/>
      <c r="AA49" s="7"/>
      <c r="AB49" s="7"/>
      <c r="AC49" s="11"/>
      <c r="AD49" s="11"/>
      <c r="AE49" s="161"/>
      <c r="AF49" s="7"/>
      <c r="AG49" s="7"/>
      <c r="AH49" s="7"/>
      <c r="AI49" s="7"/>
      <c r="AL49" s="47"/>
      <c r="AM49" s="23"/>
      <c r="AN49" s="29">
        <v>8</v>
      </c>
      <c r="AP49" s="126">
        <f>SUM(AP43-AN49)</f>
        <v>10</v>
      </c>
    </row>
    <row r="50" spans="2:95" ht="30" thickBot="1" x14ac:dyDescent="0.45">
      <c r="B50" s="244"/>
      <c r="C50" s="244"/>
      <c r="D50" s="179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7"/>
      <c r="AP50" s="126"/>
    </row>
    <row r="51" spans="2:95" ht="29.25" x14ac:dyDescent="0.4">
      <c r="B51" s="244"/>
      <c r="C51" s="244"/>
      <c r="D51" s="179"/>
      <c r="E51" s="194">
        <v>46235</v>
      </c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6"/>
      <c r="AK51" s="168" t="s">
        <v>54</v>
      </c>
      <c r="AL51" s="47">
        <f>SUM(AL45+2.5-AN49)</f>
        <v>66.5</v>
      </c>
      <c r="AM51" s="23"/>
      <c r="AN51" s="24"/>
      <c r="AP51" s="126"/>
    </row>
    <row r="52" spans="2:95" ht="30" thickBot="1" x14ac:dyDescent="0.45">
      <c r="B52" s="244"/>
      <c r="C52" s="244"/>
      <c r="D52" s="179"/>
      <c r="E52" s="12">
        <v>1</v>
      </c>
      <c r="F52" s="10">
        <v>2</v>
      </c>
      <c r="G52" s="1">
        <v>3</v>
      </c>
      <c r="H52" s="1">
        <v>4</v>
      </c>
      <c r="I52" s="1">
        <v>5</v>
      </c>
      <c r="J52" s="1">
        <v>6</v>
      </c>
      <c r="K52" s="1">
        <v>7</v>
      </c>
      <c r="L52" s="10">
        <v>8</v>
      </c>
      <c r="M52" s="10">
        <v>9</v>
      </c>
      <c r="N52" s="1">
        <v>10</v>
      </c>
      <c r="O52" s="1">
        <v>11</v>
      </c>
      <c r="P52" s="1">
        <v>12</v>
      </c>
      <c r="Q52" s="1">
        <v>13</v>
      </c>
      <c r="R52" s="1">
        <v>14</v>
      </c>
      <c r="S52" s="10">
        <v>15</v>
      </c>
      <c r="T52" s="10">
        <v>16</v>
      </c>
      <c r="U52" s="1">
        <v>17</v>
      </c>
      <c r="V52" s="1">
        <v>18</v>
      </c>
      <c r="W52" s="1">
        <v>19</v>
      </c>
      <c r="X52" s="1">
        <v>20</v>
      </c>
      <c r="Y52" s="1">
        <v>21</v>
      </c>
      <c r="Z52" s="10">
        <v>22</v>
      </c>
      <c r="AA52" s="10">
        <v>23</v>
      </c>
      <c r="AB52" s="1">
        <v>24</v>
      </c>
      <c r="AC52" s="1">
        <v>25</v>
      </c>
      <c r="AD52" s="1">
        <v>26</v>
      </c>
      <c r="AE52" s="1">
        <v>27</v>
      </c>
      <c r="AF52" s="1">
        <v>28</v>
      </c>
      <c r="AG52" s="10">
        <v>29</v>
      </c>
      <c r="AH52" s="10">
        <v>30</v>
      </c>
      <c r="AI52" s="5">
        <v>31</v>
      </c>
      <c r="AJ52" s="56"/>
      <c r="AK52" s="56"/>
      <c r="AL52" s="47"/>
      <c r="AM52" s="23"/>
      <c r="AN52" s="24"/>
      <c r="AP52" s="126"/>
    </row>
    <row r="53" spans="2:95" ht="30" thickBot="1" x14ac:dyDescent="0.45">
      <c r="B53" s="244"/>
      <c r="C53" s="244"/>
      <c r="D53" s="179"/>
      <c r="E53" s="74"/>
      <c r="F53" s="10"/>
      <c r="G53" s="349" t="s">
        <v>169</v>
      </c>
      <c r="H53" s="307"/>
      <c r="I53" s="307"/>
      <c r="J53" s="307"/>
      <c r="K53" s="307"/>
      <c r="L53" s="307"/>
      <c r="M53" s="307"/>
      <c r="N53" s="307"/>
      <c r="O53" s="307"/>
      <c r="P53" s="350"/>
      <c r="Q53" s="253" t="str">
        <f>(E138)</f>
        <v>Education  2 Day Seminar</v>
      </c>
      <c r="R53" s="254"/>
      <c r="S53" s="74"/>
      <c r="T53" s="10"/>
      <c r="U53" s="255" t="str">
        <f>(E134)</f>
        <v>Three-Day Transition Workshop</v>
      </c>
      <c r="V53" s="256"/>
      <c r="W53" s="256"/>
      <c r="X53" s="257" t="str">
        <f>(E137)</f>
        <v>Employment 2 Day Seminar</v>
      </c>
      <c r="Y53" s="258"/>
      <c r="Z53" s="74"/>
      <c r="AA53" s="10"/>
      <c r="AB53" s="349" t="s">
        <v>150</v>
      </c>
      <c r="AC53" s="307"/>
      <c r="AD53" s="307"/>
      <c r="AE53" s="307"/>
      <c r="AF53" s="307"/>
      <c r="AG53" s="307"/>
      <c r="AH53" s="307"/>
      <c r="AI53" s="350"/>
      <c r="AJ53" s="168">
        <v>3</v>
      </c>
      <c r="AL53" s="47"/>
      <c r="AM53" s="23"/>
      <c r="AN53" s="24"/>
      <c r="AP53" s="126"/>
    </row>
    <row r="54" spans="2:95" ht="30" thickBot="1" x14ac:dyDescent="0.45">
      <c r="B54" s="244"/>
      <c r="C54" s="244"/>
      <c r="D54" s="179"/>
      <c r="E54" s="12"/>
      <c r="F54" s="10"/>
      <c r="G54" s="1"/>
      <c r="H54" s="90" t="str">
        <f>(E133)</f>
        <v>Pre Separation Brief</v>
      </c>
      <c r="I54" s="1"/>
      <c r="J54" s="1"/>
      <c r="K54" s="1"/>
      <c r="L54" s="10"/>
      <c r="M54" s="10"/>
      <c r="N54" s="1"/>
      <c r="O54" s="90" t="str">
        <f>(E132)</f>
        <v>Initial Individual Counseling</v>
      </c>
      <c r="P54" s="1"/>
      <c r="Q54" s="1"/>
      <c r="R54" s="1"/>
      <c r="S54" s="10"/>
      <c r="T54" s="75"/>
      <c r="U54" s="1"/>
      <c r="V54" s="1"/>
      <c r="W54" s="1"/>
      <c r="X54" s="1"/>
      <c r="Y54" s="1"/>
      <c r="Z54" s="74"/>
      <c r="AA54" s="10"/>
      <c r="AB54" s="1"/>
      <c r="AC54" s="1"/>
      <c r="AD54" s="1"/>
      <c r="AE54" s="1"/>
      <c r="AF54" s="1"/>
      <c r="AG54" s="10"/>
      <c r="AH54" s="10"/>
      <c r="AI54" s="5"/>
      <c r="AL54" s="47"/>
      <c r="AM54" s="23"/>
      <c r="AN54" s="24"/>
      <c r="AP54" s="126"/>
    </row>
    <row r="55" spans="2:95" ht="30" thickBot="1" x14ac:dyDescent="0.45">
      <c r="B55" s="244"/>
      <c r="C55" s="244"/>
      <c r="D55" s="179"/>
      <c r="E55" s="13"/>
      <c r="F55" s="11"/>
      <c r="G55" s="7"/>
      <c r="H55" s="7"/>
      <c r="I55" s="7"/>
      <c r="J55" s="7"/>
      <c r="K55" s="7"/>
      <c r="L55" s="11"/>
      <c r="M55" s="301" t="s">
        <v>106</v>
      </c>
      <c r="N55" s="302"/>
      <c r="O55" s="302"/>
      <c r="P55" s="302"/>
      <c r="Q55" s="302"/>
      <c r="R55" s="302"/>
      <c r="S55" s="303"/>
      <c r="T55" s="11"/>
      <c r="U55" s="73"/>
      <c r="V55" s="73"/>
      <c r="W55" s="73"/>
      <c r="X55" s="73"/>
      <c r="Y55" s="73"/>
      <c r="Z55" s="11"/>
      <c r="AA55" s="11"/>
      <c r="AB55" s="7"/>
      <c r="AC55" s="7"/>
      <c r="AD55" s="7"/>
      <c r="AE55" s="7"/>
      <c r="AF55" s="7"/>
      <c r="AG55" s="11"/>
      <c r="AH55" s="11"/>
      <c r="AI55" s="8"/>
      <c r="AL55" s="47"/>
      <c r="AM55" s="23"/>
      <c r="AN55" s="29">
        <v>18</v>
      </c>
      <c r="AP55" s="126">
        <f>SUM(AP49-AN55)</f>
        <v>-8</v>
      </c>
    </row>
    <row r="56" spans="2:95" ht="30" thickBot="1" x14ac:dyDescent="0.45">
      <c r="B56" s="244"/>
      <c r="C56" s="244"/>
      <c r="D56" s="179"/>
      <c r="AL56" s="47"/>
      <c r="AM56" s="23"/>
      <c r="AN56" s="24"/>
      <c r="AP56" s="126"/>
    </row>
    <row r="57" spans="2:95" ht="29.25" x14ac:dyDescent="0.4">
      <c r="B57" s="244"/>
      <c r="C57" s="244"/>
      <c r="D57" s="179"/>
      <c r="E57" s="194">
        <v>46266</v>
      </c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6"/>
      <c r="AK57" s="168" t="s">
        <v>55</v>
      </c>
      <c r="AL57" s="47">
        <f>SUM(AL51+2.5-AN55)</f>
        <v>51</v>
      </c>
      <c r="AM57" s="23"/>
      <c r="AN57" s="24"/>
      <c r="AP57" s="126"/>
    </row>
    <row r="58" spans="2:95" ht="29.25" x14ac:dyDescent="0.4">
      <c r="B58" s="244"/>
      <c r="C58" s="244"/>
      <c r="D58" s="179"/>
      <c r="E58" s="4">
        <v>1</v>
      </c>
      <c r="F58" s="1">
        <v>2</v>
      </c>
      <c r="G58" s="1">
        <v>3</v>
      </c>
      <c r="H58" s="1">
        <v>4</v>
      </c>
      <c r="I58" s="10">
        <v>5</v>
      </c>
      <c r="J58" s="10">
        <v>6</v>
      </c>
      <c r="K58" s="1">
        <v>7</v>
      </c>
      <c r="L58" s="1">
        <v>8</v>
      </c>
      <c r="M58" s="1">
        <v>9</v>
      </c>
      <c r="N58" s="1">
        <v>10</v>
      </c>
      <c r="O58" s="1">
        <v>11</v>
      </c>
      <c r="P58" s="10">
        <v>12</v>
      </c>
      <c r="Q58" s="10">
        <v>13</v>
      </c>
      <c r="R58" s="1">
        <v>14</v>
      </c>
      <c r="S58" s="1">
        <v>15</v>
      </c>
      <c r="T58" s="1">
        <v>16</v>
      </c>
      <c r="U58" s="1">
        <v>17</v>
      </c>
      <c r="V58" s="1">
        <v>18</v>
      </c>
      <c r="W58" s="10">
        <v>19</v>
      </c>
      <c r="X58" s="10">
        <v>20</v>
      </c>
      <c r="Y58" s="1">
        <v>21</v>
      </c>
      <c r="Z58" s="1">
        <v>22</v>
      </c>
      <c r="AA58" s="1">
        <v>23</v>
      </c>
      <c r="AB58" s="1">
        <v>24</v>
      </c>
      <c r="AC58" s="1">
        <v>25</v>
      </c>
      <c r="AD58" s="10">
        <v>26</v>
      </c>
      <c r="AE58" s="10">
        <v>27</v>
      </c>
      <c r="AF58" s="1">
        <v>28</v>
      </c>
      <c r="AG58" s="1">
        <v>29</v>
      </c>
      <c r="AH58" s="1">
        <v>30</v>
      </c>
      <c r="AI58" s="5"/>
      <c r="AL58" s="47"/>
      <c r="AM58" s="23"/>
      <c r="AN58" s="24"/>
      <c r="AP58" s="126"/>
    </row>
    <row r="59" spans="2:95" ht="29.25" x14ac:dyDescent="0.4">
      <c r="B59" s="244"/>
      <c r="C59" s="244"/>
      <c r="D59" s="179"/>
      <c r="E59" s="263" t="s">
        <v>151</v>
      </c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263"/>
      <c r="AH59" s="309"/>
      <c r="AI59" s="5"/>
      <c r="AJ59" s="168">
        <v>0</v>
      </c>
      <c r="AL59" s="47"/>
      <c r="AM59" s="23"/>
      <c r="AN59" s="24"/>
      <c r="AP59" s="126"/>
    </row>
    <row r="60" spans="2:95" ht="30" thickBot="1" x14ac:dyDescent="0.45">
      <c r="B60" s="244"/>
      <c r="C60" s="244"/>
      <c r="D60" s="179"/>
      <c r="E60" s="78"/>
      <c r="F60" s="78"/>
      <c r="G60" s="78"/>
      <c r="H60" s="78"/>
      <c r="I60" s="80"/>
      <c r="J60" s="80"/>
      <c r="K60" s="78"/>
      <c r="L60" s="95" t="str">
        <f>(E132)</f>
        <v>Initial Individual Counseling</v>
      </c>
      <c r="M60" s="96"/>
      <c r="N60" s="99"/>
      <c r="O60" s="99"/>
      <c r="P60" s="97"/>
      <c r="Q60" s="85"/>
      <c r="R60" s="288" t="str">
        <f>(E134)</f>
        <v>Three-Day Transition Workshop</v>
      </c>
      <c r="S60" s="289"/>
      <c r="T60" s="290"/>
      <c r="U60" s="304" t="str">
        <f>(E136)</f>
        <v>Career &amp; Credential Exploration 2 Day Seminar</v>
      </c>
      <c r="V60" s="305"/>
      <c r="W60" s="85"/>
      <c r="X60" s="85"/>
      <c r="Y60" s="84"/>
      <c r="Z60" s="84"/>
      <c r="AA60" s="84"/>
      <c r="AB60" s="84"/>
      <c r="AC60" s="84"/>
      <c r="AD60" s="85"/>
      <c r="AE60" s="85"/>
      <c r="AF60" s="84"/>
      <c r="AG60" s="95" t="str">
        <f>(E132)</f>
        <v>Initial Individual Counseling</v>
      </c>
      <c r="AH60" s="84"/>
      <c r="AI60" s="147"/>
      <c r="AL60" s="47"/>
      <c r="AM60" s="23"/>
      <c r="AN60" s="27"/>
      <c r="AP60" s="126"/>
    </row>
    <row r="61" spans="2:95" ht="30" thickBot="1" x14ac:dyDescent="0.45">
      <c r="B61" s="244"/>
      <c r="C61" s="244"/>
      <c r="D61" s="179"/>
      <c r="E61" s="72"/>
      <c r="F61" s="73"/>
      <c r="G61" s="73"/>
      <c r="H61" s="73"/>
      <c r="I61" s="79"/>
      <c r="J61" s="79"/>
      <c r="K61" s="142" t="s">
        <v>83</v>
      </c>
      <c r="L61" s="81"/>
      <c r="M61" s="81"/>
      <c r="N61" s="98"/>
      <c r="O61" s="98"/>
      <c r="P61" s="82"/>
      <c r="Q61" s="82"/>
      <c r="R61" s="81"/>
      <c r="S61" s="81"/>
      <c r="T61" s="88" t="str">
        <f>(E140)</f>
        <v>VA Individual Appointments</v>
      </c>
      <c r="U61" s="81"/>
      <c r="V61" s="81"/>
      <c r="W61" s="82"/>
      <c r="X61" s="82"/>
      <c r="Y61" s="81"/>
      <c r="Z61" s="81"/>
      <c r="AA61" s="81"/>
      <c r="AB61" s="81"/>
      <c r="AC61" s="81"/>
      <c r="AD61" s="82"/>
      <c r="AE61" s="82"/>
      <c r="AF61" s="81"/>
      <c r="AG61" s="81"/>
      <c r="AH61" s="81"/>
      <c r="AI61" s="83"/>
      <c r="AL61" s="47"/>
      <c r="AM61" s="26"/>
      <c r="AN61" s="29">
        <v>30</v>
      </c>
      <c r="AP61" s="126">
        <f>SUM(AP55-AN61)</f>
        <v>-38</v>
      </c>
    </row>
    <row r="62" spans="2:95" ht="15.75" thickBot="1" x14ac:dyDescent="0.25">
      <c r="B62" s="244"/>
      <c r="C62" s="244"/>
      <c r="D62" s="179"/>
      <c r="AL62" s="47"/>
      <c r="AM62" s="23"/>
      <c r="AN62" s="28"/>
    </row>
    <row r="63" spans="2:95" x14ac:dyDescent="0.2">
      <c r="B63" s="244"/>
      <c r="C63" s="244"/>
      <c r="D63" s="179"/>
      <c r="E63" s="194">
        <v>46296</v>
      </c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6"/>
      <c r="AK63" s="168" t="s">
        <v>56</v>
      </c>
      <c r="AL63" s="47">
        <f>SUM(AL57+2.5-AN61)</f>
        <v>23.5</v>
      </c>
      <c r="AM63" s="23"/>
      <c r="AN63" s="24"/>
    </row>
    <row r="64" spans="2:95" x14ac:dyDescent="0.2">
      <c r="B64" s="244"/>
      <c r="C64" s="244"/>
      <c r="D64" s="179"/>
      <c r="E64" s="4">
        <v>1</v>
      </c>
      <c r="F64" s="1">
        <v>2</v>
      </c>
      <c r="G64" s="10">
        <v>3</v>
      </c>
      <c r="H64" s="10">
        <v>4</v>
      </c>
      <c r="I64" s="1">
        <v>5</v>
      </c>
      <c r="J64" s="1">
        <v>6</v>
      </c>
      <c r="K64" s="1">
        <v>7</v>
      </c>
      <c r="L64" s="1">
        <v>8</v>
      </c>
      <c r="M64" s="1">
        <v>9</v>
      </c>
      <c r="N64" s="10">
        <v>10</v>
      </c>
      <c r="O64" s="10">
        <v>11</v>
      </c>
      <c r="P64" s="1">
        <v>12</v>
      </c>
      <c r="Q64" s="1">
        <v>13</v>
      </c>
      <c r="R64" s="1">
        <v>14</v>
      </c>
      <c r="S64" s="1">
        <v>15</v>
      </c>
      <c r="T64" s="1">
        <v>16</v>
      </c>
      <c r="U64" s="10">
        <v>17</v>
      </c>
      <c r="V64" s="10">
        <v>18</v>
      </c>
      <c r="W64" s="1">
        <v>19</v>
      </c>
      <c r="X64" s="1">
        <v>20</v>
      </c>
      <c r="Y64" s="1">
        <v>21</v>
      </c>
      <c r="Z64" s="1">
        <v>22</v>
      </c>
      <c r="AA64" s="1">
        <v>23</v>
      </c>
      <c r="AB64" s="10">
        <v>24</v>
      </c>
      <c r="AC64" s="10">
        <v>25</v>
      </c>
      <c r="AD64" s="1">
        <v>26</v>
      </c>
      <c r="AE64" s="1">
        <v>27</v>
      </c>
      <c r="AF64" s="1">
        <v>28</v>
      </c>
      <c r="AG64" s="1">
        <v>29</v>
      </c>
      <c r="AH64" s="1">
        <v>30</v>
      </c>
      <c r="AI64" s="14">
        <v>31</v>
      </c>
      <c r="AJ64" s="56"/>
      <c r="AK64" s="56"/>
      <c r="AL64" s="47"/>
      <c r="AM64" s="23"/>
      <c r="AN64" s="24"/>
      <c r="BM64" s="262" t="s">
        <v>0</v>
      </c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</row>
    <row r="65" spans="1:95" ht="21.75" thickBot="1" x14ac:dyDescent="0.35">
      <c r="B65" s="244"/>
      <c r="C65" s="244"/>
      <c r="D65" s="179"/>
      <c r="E65" s="339" t="s">
        <v>158</v>
      </c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  <c r="AC65" s="339"/>
      <c r="AD65" s="339"/>
      <c r="AE65" s="339"/>
      <c r="AF65" s="339"/>
      <c r="AG65" s="339"/>
      <c r="AH65" s="339"/>
      <c r="AI65" s="340"/>
      <c r="AJ65" s="56">
        <v>0</v>
      </c>
      <c r="AK65" s="56"/>
      <c r="AL65" s="47"/>
      <c r="AM65" s="23"/>
      <c r="AN65" s="24"/>
      <c r="BM65">
        <v>1</v>
      </c>
      <c r="BN65">
        <v>2</v>
      </c>
      <c r="BO65">
        <v>3</v>
      </c>
      <c r="BP65">
        <v>4</v>
      </c>
      <c r="BQ65">
        <v>5</v>
      </c>
      <c r="BR65">
        <v>6</v>
      </c>
      <c r="BS65">
        <v>7</v>
      </c>
      <c r="BT65">
        <v>8</v>
      </c>
      <c r="BU65">
        <v>9</v>
      </c>
      <c r="BV65">
        <v>10</v>
      </c>
      <c r="BW65">
        <v>11</v>
      </c>
      <c r="BX65">
        <v>12</v>
      </c>
      <c r="BY65">
        <v>13</v>
      </c>
      <c r="BZ65">
        <v>14</v>
      </c>
      <c r="CA65">
        <v>15</v>
      </c>
      <c r="CB65">
        <v>16</v>
      </c>
      <c r="CC65">
        <v>17</v>
      </c>
      <c r="CD65">
        <v>18</v>
      </c>
      <c r="CE65">
        <v>19</v>
      </c>
      <c r="CF65">
        <v>20</v>
      </c>
      <c r="CG65">
        <v>21</v>
      </c>
      <c r="CH65">
        <v>22</v>
      </c>
      <c r="CI65">
        <v>23</v>
      </c>
      <c r="CJ65">
        <v>24</v>
      </c>
      <c r="CK65">
        <v>25</v>
      </c>
      <c r="CL65">
        <v>26</v>
      </c>
      <c r="CM65">
        <v>27</v>
      </c>
      <c r="CN65">
        <v>28</v>
      </c>
      <c r="CO65">
        <v>29</v>
      </c>
      <c r="CP65">
        <v>30</v>
      </c>
      <c r="CQ65">
        <v>31</v>
      </c>
    </row>
    <row r="66" spans="1:95" ht="15.75" thickBot="1" x14ac:dyDescent="0.25">
      <c r="B66" s="244"/>
      <c r="C66" s="244"/>
      <c r="D66" s="179"/>
      <c r="E66" s="4"/>
      <c r="F66" s="1"/>
      <c r="G66" s="10"/>
      <c r="H66" s="10"/>
      <c r="I66" s="250" t="str">
        <f>(E135)</f>
        <v>Entrepreneurship 2-Day Seminar</v>
      </c>
      <c r="J66" s="251"/>
      <c r="K66" s="1"/>
      <c r="L66" s="1"/>
      <c r="M66" s="1"/>
      <c r="N66" s="10"/>
      <c r="O66" s="10"/>
      <c r="P66" s="1"/>
      <c r="Q66" s="1"/>
      <c r="R66" s="1"/>
      <c r="S66" s="1"/>
      <c r="T66" s="1"/>
      <c r="U66" s="10"/>
      <c r="V66" s="10"/>
      <c r="W66" s="288" t="str">
        <f>(E134)</f>
        <v>Three-Day Transition Workshop</v>
      </c>
      <c r="X66" s="289"/>
      <c r="Y66" s="290"/>
      <c r="Z66" s="257" t="str">
        <f>(E137)</f>
        <v>Employment 2 Day Seminar</v>
      </c>
      <c r="AA66" s="258"/>
      <c r="AB66" s="10"/>
      <c r="AC66" s="10"/>
      <c r="AD66" s="1"/>
      <c r="AE66" s="93" t="str">
        <f>(E133)</f>
        <v>Pre Separation Brief</v>
      </c>
      <c r="AF66" s="1"/>
      <c r="AG66" s="94" t="str">
        <f>(E138)</f>
        <v>Education  2 Day Seminar</v>
      </c>
      <c r="AH66" s="1"/>
      <c r="AI66" s="14"/>
      <c r="AL66" s="47"/>
      <c r="AM66" s="23"/>
      <c r="AN66" s="27"/>
    </row>
    <row r="67" spans="1:95" ht="15.75" thickBot="1" x14ac:dyDescent="0.25">
      <c r="B67" s="244"/>
      <c r="C67" s="244"/>
      <c r="D67" s="179"/>
      <c r="E67" s="4"/>
      <c r="F67" s="1"/>
      <c r="G67" s="10"/>
      <c r="H67" s="10"/>
      <c r="I67" s="1"/>
      <c r="J67" s="1"/>
      <c r="K67" s="1"/>
      <c r="L67" s="1"/>
      <c r="M67" s="70" t="s">
        <v>29</v>
      </c>
      <c r="N67" s="10"/>
      <c r="O67" s="10"/>
      <c r="P67" s="143" t="s">
        <v>84</v>
      </c>
      <c r="Q67" s="1"/>
      <c r="R67" s="1"/>
      <c r="S67" s="1"/>
      <c r="T67" s="1"/>
      <c r="U67" s="10"/>
      <c r="V67" s="10"/>
      <c r="W67" s="1"/>
      <c r="X67" s="1"/>
      <c r="Y67" s="88" t="str">
        <f>(E140)</f>
        <v>VA Individual Appointments</v>
      </c>
      <c r="Z67" s="1"/>
      <c r="AA67" s="1" t="s">
        <v>110</v>
      </c>
      <c r="AB67" s="10"/>
      <c r="AC67" s="10"/>
      <c r="AD67" s="1"/>
      <c r="AE67" s="1"/>
      <c r="AF67" s="1"/>
      <c r="AG67" s="1"/>
      <c r="AH67" s="1"/>
      <c r="AI67" s="15"/>
      <c r="AL67" s="47"/>
      <c r="AM67" s="26"/>
      <c r="AN67" s="29">
        <v>0</v>
      </c>
    </row>
    <row r="68" spans="1:95" ht="15.75" thickBot="1" x14ac:dyDescent="0.25">
      <c r="B68" s="244"/>
      <c r="C68" s="244"/>
      <c r="D68" s="17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L68" s="47"/>
      <c r="AM68" s="23"/>
      <c r="AN68" s="28"/>
    </row>
    <row r="69" spans="1:95" ht="15.75" thickBot="1" x14ac:dyDescent="0.25">
      <c r="B69" s="244"/>
      <c r="C69" s="244"/>
      <c r="D69" s="179"/>
      <c r="E69" s="190">
        <v>46327</v>
      </c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2"/>
      <c r="AH69" s="192"/>
      <c r="AI69" s="193"/>
      <c r="AK69" s="168" t="s">
        <v>57</v>
      </c>
      <c r="AL69" s="47">
        <f>SUM(AL63+2.5-AN67)</f>
        <v>26</v>
      </c>
      <c r="AM69" s="23"/>
      <c r="AN69" s="24"/>
    </row>
    <row r="70" spans="1:95" x14ac:dyDescent="0.2">
      <c r="B70" s="244"/>
      <c r="C70" s="244"/>
      <c r="D70" s="179"/>
      <c r="E70" s="120">
        <v>1</v>
      </c>
      <c r="F70" s="57">
        <v>2</v>
      </c>
      <c r="G70" s="57">
        <v>3</v>
      </c>
      <c r="H70" s="57">
        <v>4</v>
      </c>
      <c r="I70" s="57">
        <v>5</v>
      </c>
      <c r="J70" s="57">
        <v>6</v>
      </c>
      <c r="K70" s="58">
        <v>7</v>
      </c>
      <c r="L70" s="58">
        <v>8</v>
      </c>
      <c r="M70" s="57">
        <v>9</v>
      </c>
      <c r="N70" s="57">
        <v>10</v>
      </c>
      <c r="O70" s="57">
        <v>11</v>
      </c>
      <c r="P70" s="57">
        <v>12</v>
      </c>
      <c r="Q70" s="57">
        <v>13</v>
      </c>
      <c r="R70" s="58">
        <v>14</v>
      </c>
      <c r="S70" s="58">
        <v>15</v>
      </c>
      <c r="T70" s="57">
        <v>16</v>
      </c>
      <c r="U70" s="57">
        <v>17</v>
      </c>
      <c r="V70" s="57">
        <v>18</v>
      </c>
      <c r="W70" s="57">
        <v>19</v>
      </c>
      <c r="X70" s="57">
        <v>20</v>
      </c>
      <c r="Y70" s="58">
        <v>21</v>
      </c>
      <c r="Z70" s="58">
        <v>22</v>
      </c>
      <c r="AA70" s="57">
        <v>23</v>
      </c>
      <c r="AB70" s="57">
        <v>24</v>
      </c>
      <c r="AC70" s="68">
        <v>25</v>
      </c>
      <c r="AD70" s="68">
        <v>26</v>
      </c>
      <c r="AE70" s="68">
        <v>27</v>
      </c>
      <c r="AF70" s="69">
        <v>28</v>
      </c>
      <c r="AG70" s="69">
        <v>29</v>
      </c>
      <c r="AH70" s="64">
        <v>30</v>
      </c>
      <c r="AI70" s="3"/>
      <c r="AJ70" s="56"/>
      <c r="AK70" s="56"/>
      <c r="AL70" s="47"/>
      <c r="AM70" s="23"/>
      <c r="AN70" s="24"/>
    </row>
    <row r="71" spans="1:95" ht="21" x14ac:dyDescent="0.3">
      <c r="A71" s="67"/>
      <c r="B71" s="244"/>
      <c r="C71" s="244"/>
      <c r="D71" s="179"/>
      <c r="E71" s="341" t="s">
        <v>173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53" t="s">
        <v>161</v>
      </c>
      <c r="AG71" s="353"/>
      <c r="AH71" s="354"/>
      <c r="AI71" s="5"/>
      <c r="AJ71" s="168">
        <v>0</v>
      </c>
      <c r="AL71" s="47"/>
      <c r="AM71" s="23"/>
      <c r="AN71" s="24"/>
    </row>
    <row r="72" spans="1:95" ht="15.75" thickBot="1" x14ac:dyDescent="0.25">
      <c r="B72" s="244"/>
      <c r="C72" s="244"/>
      <c r="D72" s="179"/>
      <c r="E72" s="121"/>
      <c r="F72" s="59"/>
      <c r="G72" s="59"/>
      <c r="H72" s="59"/>
      <c r="I72" s="59"/>
      <c r="J72" s="59"/>
      <c r="K72" s="60"/>
      <c r="L72" s="60"/>
      <c r="M72" s="59"/>
      <c r="N72" s="59"/>
      <c r="O72" s="59"/>
      <c r="P72" s="298" t="str">
        <f>(E136)</f>
        <v>Career &amp; Credential Exploration 2 Day Seminar</v>
      </c>
      <c r="Q72" s="299"/>
      <c r="R72" s="60"/>
      <c r="S72" s="60"/>
      <c r="T72" s="295" t="str">
        <f>(E134)</f>
        <v>Three-Day Transition Workshop</v>
      </c>
      <c r="U72" s="296"/>
      <c r="V72" s="297"/>
      <c r="W72" s="280" t="str">
        <f>(E137)</f>
        <v>Employment 2 Day Seminar</v>
      </c>
      <c r="X72" s="281"/>
      <c r="Y72" s="60"/>
      <c r="Z72" s="60"/>
      <c r="AA72" s="282" t="s">
        <v>80</v>
      </c>
      <c r="AB72" s="283"/>
      <c r="AC72" s="283"/>
      <c r="AD72" s="283"/>
      <c r="AE72" s="300"/>
      <c r="AF72" s="60"/>
      <c r="AG72" s="60"/>
      <c r="AH72" s="1"/>
      <c r="AI72" s="5"/>
      <c r="AL72" s="47"/>
      <c r="AM72" s="23"/>
      <c r="AN72" s="27"/>
    </row>
    <row r="73" spans="1:95" ht="15.75" thickBot="1" x14ac:dyDescent="0.25">
      <c r="B73" s="244"/>
      <c r="C73" s="244"/>
      <c r="D73" s="179"/>
      <c r="E73" s="13"/>
      <c r="F73" s="7"/>
      <c r="G73" s="92" t="str">
        <f>(E133)</f>
        <v>Pre Separation Brief</v>
      </c>
      <c r="H73" s="7"/>
      <c r="I73" s="7"/>
      <c r="J73" s="7"/>
      <c r="K73" s="11"/>
      <c r="L73" s="11"/>
      <c r="M73" s="7"/>
      <c r="N73" s="143" t="s">
        <v>111</v>
      </c>
      <c r="O73" s="143" t="s">
        <v>85</v>
      </c>
      <c r="P73" s="7"/>
      <c r="Q73" s="7"/>
      <c r="R73" s="11"/>
      <c r="S73" s="11"/>
      <c r="T73" s="7"/>
      <c r="U73" s="7"/>
      <c r="V73" s="89" t="str">
        <f>(E140)</f>
        <v>VA Individual Appointments</v>
      </c>
      <c r="W73" s="7"/>
      <c r="X73" s="7"/>
      <c r="Y73" s="11"/>
      <c r="Z73" s="11"/>
      <c r="AA73" s="7"/>
      <c r="AB73" s="139" t="str">
        <f>(E133)</f>
        <v>Pre Separation Brief</v>
      </c>
      <c r="AC73" s="7"/>
      <c r="AD73" s="143" t="s">
        <v>2</v>
      </c>
      <c r="AE73" s="143"/>
      <c r="AF73" s="11"/>
      <c r="AG73" s="11"/>
      <c r="AH73" s="7"/>
      <c r="AI73" s="8"/>
      <c r="AL73" s="47"/>
      <c r="AM73" s="26"/>
      <c r="AN73" s="29">
        <v>3</v>
      </c>
    </row>
    <row r="74" spans="1:95" ht="15.75" thickBot="1" x14ac:dyDescent="0.25">
      <c r="B74" s="244"/>
      <c r="C74" s="244"/>
      <c r="D74" s="17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L74" s="47"/>
      <c r="AM74" s="23"/>
      <c r="AN74" s="28"/>
    </row>
    <row r="75" spans="1:95" x14ac:dyDescent="0.2">
      <c r="B75" s="244"/>
      <c r="C75" s="244"/>
      <c r="D75" s="179"/>
      <c r="E75" s="217">
        <v>46357</v>
      </c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9"/>
      <c r="AH75" s="219"/>
      <c r="AI75" s="220"/>
      <c r="AK75" s="168" t="s">
        <v>58</v>
      </c>
      <c r="AL75" s="47">
        <f>SUM(AL69+2.5-AN73)</f>
        <v>25.5</v>
      </c>
      <c r="AM75" s="23"/>
      <c r="AN75" s="24"/>
    </row>
    <row r="76" spans="1:95" x14ac:dyDescent="0.2">
      <c r="B76" s="244"/>
      <c r="C76" s="244"/>
      <c r="D76" s="179"/>
      <c r="E76" s="4">
        <v>1</v>
      </c>
      <c r="F76" s="1">
        <v>2</v>
      </c>
      <c r="G76" s="1">
        <v>3</v>
      </c>
      <c r="H76" s="1">
        <v>4</v>
      </c>
      <c r="I76" s="10">
        <v>5</v>
      </c>
      <c r="J76" s="10">
        <v>6</v>
      </c>
      <c r="K76" s="1">
        <v>7</v>
      </c>
      <c r="L76" s="1">
        <v>8</v>
      </c>
      <c r="M76" s="1">
        <v>9</v>
      </c>
      <c r="N76" s="1">
        <v>10</v>
      </c>
      <c r="O76" s="1">
        <v>11</v>
      </c>
      <c r="P76" s="10">
        <v>12</v>
      </c>
      <c r="Q76" s="10">
        <v>13</v>
      </c>
      <c r="R76" s="1">
        <v>14</v>
      </c>
      <c r="S76" s="1">
        <v>15</v>
      </c>
      <c r="T76" s="1">
        <v>16</v>
      </c>
      <c r="U76" s="1">
        <v>17</v>
      </c>
      <c r="V76" s="1">
        <v>18</v>
      </c>
      <c r="W76" s="10">
        <v>19</v>
      </c>
      <c r="X76" s="10">
        <v>20</v>
      </c>
      <c r="Y76" s="1">
        <v>21</v>
      </c>
      <c r="Z76" s="1">
        <v>22</v>
      </c>
      <c r="AA76" s="1">
        <v>23</v>
      </c>
      <c r="AB76" s="1">
        <v>24</v>
      </c>
      <c r="AC76" s="1">
        <v>25</v>
      </c>
      <c r="AD76" s="10">
        <v>26</v>
      </c>
      <c r="AE76" s="10">
        <v>27</v>
      </c>
      <c r="AF76" s="1">
        <v>28</v>
      </c>
      <c r="AG76" s="1">
        <v>29</v>
      </c>
      <c r="AH76" s="1">
        <v>30</v>
      </c>
      <c r="AI76" s="1">
        <v>31</v>
      </c>
      <c r="AL76" s="47"/>
      <c r="AM76" s="23"/>
      <c r="AN76" s="24"/>
    </row>
    <row r="77" spans="1:95" ht="21.75" thickBot="1" x14ac:dyDescent="0.35">
      <c r="B77" s="244"/>
      <c r="C77" s="244"/>
      <c r="D77" s="179"/>
      <c r="E77" s="352" t="s">
        <v>180</v>
      </c>
      <c r="F77" s="263"/>
      <c r="G77" s="263"/>
      <c r="H77" s="263"/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309"/>
      <c r="AB77" s="143" t="s">
        <v>3</v>
      </c>
      <c r="AC77" s="143" t="s">
        <v>3</v>
      </c>
      <c r="AD77" s="10"/>
      <c r="AE77" s="10"/>
      <c r="AF77" s="345" t="s">
        <v>156</v>
      </c>
      <c r="AG77" s="346"/>
      <c r="AH77" s="346"/>
      <c r="AI77" s="22" t="s">
        <v>3</v>
      </c>
      <c r="AJ77" s="168">
        <v>11</v>
      </c>
      <c r="AL77" s="47"/>
      <c r="AM77" s="23"/>
      <c r="AN77" s="24"/>
    </row>
    <row r="78" spans="1:95" ht="15.75" thickBot="1" x14ac:dyDescent="0.25">
      <c r="B78" s="244"/>
      <c r="C78" s="244"/>
      <c r="D78" s="179"/>
      <c r="E78" s="91" t="str">
        <f>(E133)</f>
        <v>Pre Separation Brief</v>
      </c>
      <c r="F78" s="1"/>
      <c r="G78" s="1"/>
      <c r="H78" s="1"/>
      <c r="I78" s="10"/>
      <c r="J78" s="10"/>
      <c r="K78" s="288" t="str">
        <f>(E134)</f>
        <v>Three-Day Transition Workshop</v>
      </c>
      <c r="L78" s="289"/>
      <c r="M78" s="347"/>
      <c r="N78" s="257" t="str">
        <f>(E137)</f>
        <v>Employment 2 Day Seminar</v>
      </c>
      <c r="O78" s="258"/>
      <c r="P78" s="10"/>
      <c r="Q78" s="10"/>
      <c r="R78" s="1"/>
      <c r="S78" s="90" t="str">
        <f>(E133)</f>
        <v>Pre Separation Brief</v>
      </c>
      <c r="T78" s="1"/>
      <c r="U78" s="1"/>
      <c r="V78" s="1"/>
      <c r="W78" s="11"/>
      <c r="X78" s="11"/>
      <c r="Y78" s="282" t="s">
        <v>80</v>
      </c>
      <c r="Z78" s="283"/>
      <c r="AA78" s="283"/>
      <c r="AB78" s="283"/>
      <c r="AC78" s="283"/>
      <c r="AD78" s="283"/>
      <c r="AE78" s="283"/>
      <c r="AF78" s="283"/>
      <c r="AG78" s="283"/>
      <c r="AH78" s="283"/>
      <c r="AI78" s="284"/>
      <c r="AL78" s="47"/>
      <c r="AM78" s="23"/>
      <c r="AN78" s="27"/>
    </row>
    <row r="79" spans="1:95" ht="15.75" thickBot="1" x14ac:dyDescent="0.25">
      <c r="B79" s="244"/>
      <c r="C79" s="244"/>
      <c r="D79" s="179"/>
      <c r="E79" s="6"/>
      <c r="F79" s="122" t="s">
        <v>18</v>
      </c>
      <c r="G79" s="7"/>
      <c r="H79" s="7"/>
      <c r="I79" s="11"/>
      <c r="J79" s="11"/>
      <c r="K79" s="7"/>
      <c r="L79" s="7"/>
      <c r="M79" s="89" t="str">
        <f>(E140)</f>
        <v>VA Individual Appointments</v>
      </c>
      <c r="N79" s="7"/>
      <c r="O79" s="7"/>
      <c r="P79" s="11"/>
      <c r="Q79" s="11"/>
      <c r="R79" s="7"/>
      <c r="S79" s="7"/>
      <c r="T79" s="7"/>
      <c r="U79" s="7"/>
      <c r="V79" s="7"/>
      <c r="W79" s="11"/>
      <c r="X79" s="11"/>
      <c r="Y79" s="7"/>
      <c r="Z79" s="7"/>
      <c r="AA79" s="7"/>
      <c r="AB79" s="143" t="s">
        <v>3</v>
      </c>
      <c r="AC79" s="143" t="s">
        <v>3</v>
      </c>
      <c r="AD79" s="11"/>
      <c r="AE79" s="11"/>
      <c r="AF79" s="7"/>
      <c r="AG79" s="7"/>
      <c r="AH79" s="7"/>
      <c r="AI79" s="22" t="s">
        <v>3</v>
      </c>
      <c r="AL79" s="47"/>
      <c r="AM79" s="26"/>
      <c r="AN79" s="29">
        <v>23</v>
      </c>
    </row>
    <row r="80" spans="1:95" ht="15.75" thickBot="1" x14ac:dyDescent="0.25">
      <c r="B80" s="244"/>
      <c r="C80" s="244"/>
      <c r="D80" s="17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L80" s="47"/>
      <c r="AM80" s="23"/>
      <c r="AN80" s="28"/>
    </row>
    <row r="81" spans="2:40" x14ac:dyDescent="0.2">
      <c r="B81" s="244"/>
      <c r="C81" s="244"/>
      <c r="D81" s="244">
        <v>1</v>
      </c>
      <c r="E81" s="194">
        <v>46388</v>
      </c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6"/>
      <c r="AK81" s="168" t="s">
        <v>59</v>
      </c>
      <c r="AL81" s="47">
        <f>SUM(AL75+2.5-AN79)</f>
        <v>5</v>
      </c>
      <c r="AM81" s="23"/>
      <c r="AN81" s="24"/>
    </row>
    <row r="82" spans="2:40" x14ac:dyDescent="0.2">
      <c r="B82" s="244"/>
      <c r="C82" s="244"/>
      <c r="D82" s="244"/>
      <c r="E82" s="4">
        <v>1</v>
      </c>
      <c r="F82" s="10">
        <v>2</v>
      </c>
      <c r="G82" s="10">
        <v>3</v>
      </c>
      <c r="H82" s="1">
        <v>4</v>
      </c>
      <c r="I82" s="1">
        <v>5</v>
      </c>
      <c r="J82" s="1">
        <v>6</v>
      </c>
      <c r="K82" s="1">
        <v>7</v>
      </c>
      <c r="L82" s="1">
        <v>8</v>
      </c>
      <c r="M82" s="10">
        <v>9</v>
      </c>
      <c r="N82" s="10">
        <v>10</v>
      </c>
      <c r="O82" s="1">
        <v>11</v>
      </c>
      <c r="P82" s="1">
        <v>12</v>
      </c>
      <c r="Q82" s="1">
        <v>13</v>
      </c>
      <c r="R82" s="1">
        <v>14</v>
      </c>
      <c r="S82" s="1">
        <v>15</v>
      </c>
      <c r="T82" s="10">
        <v>16</v>
      </c>
      <c r="U82" s="10">
        <v>17</v>
      </c>
      <c r="V82" s="1">
        <v>18</v>
      </c>
      <c r="W82" s="1">
        <v>19</v>
      </c>
      <c r="X82" s="1">
        <v>20</v>
      </c>
      <c r="Y82" s="1">
        <v>21</v>
      </c>
      <c r="Z82" s="1">
        <v>22</v>
      </c>
      <c r="AA82" s="10">
        <v>23</v>
      </c>
      <c r="AB82" s="10">
        <v>24</v>
      </c>
      <c r="AC82" s="1">
        <v>25</v>
      </c>
      <c r="AD82" s="1">
        <v>26</v>
      </c>
      <c r="AE82" s="1">
        <v>27</v>
      </c>
      <c r="AF82" s="1">
        <v>28</v>
      </c>
      <c r="AG82" s="1">
        <v>29</v>
      </c>
      <c r="AH82" s="10">
        <v>30</v>
      </c>
      <c r="AI82" s="40">
        <v>31</v>
      </c>
      <c r="AL82" s="47"/>
      <c r="AM82" s="23"/>
      <c r="AN82" s="24"/>
    </row>
    <row r="83" spans="2:40" ht="21" x14ac:dyDescent="0.3">
      <c r="B83" s="244"/>
      <c r="C83" s="244"/>
      <c r="D83" s="244"/>
      <c r="E83" s="21" t="s">
        <v>2</v>
      </c>
      <c r="F83" s="207" t="s">
        <v>116</v>
      </c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8"/>
      <c r="AL83" s="47"/>
      <c r="AM83" s="23"/>
      <c r="AN83" s="24"/>
    </row>
    <row r="84" spans="2:40" ht="15.75" thickBot="1" x14ac:dyDescent="0.25">
      <c r="B84" s="244"/>
      <c r="C84" s="244"/>
      <c r="D84" s="244"/>
      <c r="E84" s="100"/>
      <c r="F84" s="10"/>
      <c r="G84" s="10"/>
      <c r="H84" s="1"/>
      <c r="I84" s="1"/>
      <c r="J84" s="1"/>
      <c r="K84" s="1"/>
      <c r="L84" s="1"/>
      <c r="M84" s="10"/>
      <c r="N84" s="10"/>
      <c r="O84" s="1"/>
      <c r="P84" s="1"/>
      <c r="Q84" s="1"/>
      <c r="R84" s="1"/>
      <c r="S84" s="1"/>
      <c r="T84" s="10"/>
      <c r="U84" s="10"/>
      <c r="V84" s="1"/>
      <c r="W84" s="1"/>
      <c r="X84" s="1"/>
      <c r="Y84" s="1"/>
      <c r="Z84" s="1"/>
      <c r="AA84" s="10"/>
      <c r="AB84" s="10"/>
      <c r="AC84" s="1"/>
      <c r="AD84" s="1"/>
      <c r="AE84" s="1"/>
      <c r="AF84" s="1"/>
      <c r="AG84" s="1"/>
      <c r="AH84" s="10"/>
      <c r="AI84" s="40"/>
      <c r="AL84" s="47"/>
      <c r="AM84" s="23"/>
      <c r="AN84" s="27"/>
    </row>
    <row r="85" spans="2:40" ht="25.5" thickBot="1" x14ac:dyDescent="0.4">
      <c r="B85" s="244"/>
      <c r="C85" s="244"/>
      <c r="D85" s="244"/>
      <c r="E85" s="21" t="s">
        <v>2</v>
      </c>
      <c r="F85" s="10"/>
      <c r="G85" s="10"/>
      <c r="H85" s="1"/>
      <c r="I85" s="1"/>
      <c r="J85" s="1"/>
      <c r="K85" s="1"/>
      <c r="L85" s="1"/>
      <c r="M85" s="10"/>
      <c r="N85" s="10"/>
      <c r="O85" s="1"/>
      <c r="P85" s="1"/>
      <c r="Q85" s="1"/>
      <c r="R85" s="1"/>
      <c r="S85" s="1"/>
      <c r="T85" s="10"/>
      <c r="U85" s="10"/>
      <c r="V85" s="141" t="s">
        <v>81</v>
      </c>
      <c r="W85" s="1"/>
      <c r="X85" s="1"/>
      <c r="Y85" s="1"/>
      <c r="Z85" s="1"/>
      <c r="AA85" s="10"/>
      <c r="AB85" s="10"/>
      <c r="AC85" s="1"/>
      <c r="AD85" s="1"/>
      <c r="AE85" s="1"/>
      <c r="AF85" s="1"/>
      <c r="AG85" s="1"/>
      <c r="AH85" s="10"/>
      <c r="AI85" s="40"/>
      <c r="AJ85" s="140"/>
      <c r="AL85" s="47"/>
      <c r="AM85" s="26"/>
      <c r="AN85" s="29">
        <v>0</v>
      </c>
    </row>
    <row r="86" spans="2:40" ht="15.75" thickBot="1" x14ac:dyDescent="0.25">
      <c r="B86" s="244"/>
      <c r="C86" s="244"/>
      <c r="D86" s="179"/>
      <c r="AL86" s="47"/>
      <c r="AM86" s="23"/>
      <c r="AN86" s="28"/>
    </row>
    <row r="87" spans="2:40" x14ac:dyDescent="0.2">
      <c r="B87" s="244"/>
      <c r="C87" s="244"/>
      <c r="D87" s="244">
        <v>2</v>
      </c>
      <c r="E87" s="194">
        <v>46419</v>
      </c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6"/>
      <c r="AJ87" s="168" t="s">
        <v>86</v>
      </c>
      <c r="AK87" s="168" t="s">
        <v>60</v>
      </c>
      <c r="AL87" s="47">
        <f>SUM(AL81+2.5-AN85)</f>
        <v>7.5</v>
      </c>
      <c r="AM87" s="23"/>
      <c r="AN87" s="24"/>
    </row>
    <row r="88" spans="2:40" ht="24.75" x14ac:dyDescent="0.35">
      <c r="B88" s="244"/>
      <c r="C88" s="244"/>
      <c r="D88" s="244"/>
      <c r="E88" s="4">
        <v>1</v>
      </c>
      <c r="F88" s="1">
        <v>2</v>
      </c>
      <c r="G88" s="1">
        <v>3</v>
      </c>
      <c r="H88" s="1">
        <v>4</v>
      </c>
      <c r="I88" s="1">
        <v>5</v>
      </c>
      <c r="J88" s="38">
        <v>6</v>
      </c>
      <c r="K88" s="38">
        <v>7</v>
      </c>
      <c r="L88" s="1">
        <v>8</v>
      </c>
      <c r="M88" s="1">
        <v>9</v>
      </c>
      <c r="N88" s="1">
        <v>10</v>
      </c>
      <c r="O88" s="1">
        <v>11</v>
      </c>
      <c r="P88" s="1">
        <v>12</v>
      </c>
      <c r="Q88" s="38">
        <v>13</v>
      </c>
      <c r="R88" s="38">
        <v>14</v>
      </c>
      <c r="S88" s="1">
        <v>15</v>
      </c>
      <c r="T88" s="1">
        <v>16</v>
      </c>
      <c r="U88" s="1">
        <v>17</v>
      </c>
      <c r="V88" s="1">
        <v>18</v>
      </c>
      <c r="W88" s="1">
        <v>19</v>
      </c>
      <c r="X88" s="38">
        <v>20</v>
      </c>
      <c r="Y88" s="38">
        <v>21</v>
      </c>
      <c r="Z88" s="1">
        <v>22</v>
      </c>
      <c r="AA88" s="1">
        <v>23</v>
      </c>
      <c r="AB88" s="62">
        <v>24</v>
      </c>
      <c r="AC88" s="62">
        <v>25</v>
      </c>
      <c r="AD88" s="62">
        <v>26</v>
      </c>
      <c r="AE88" s="103">
        <v>27</v>
      </c>
      <c r="AF88" s="103">
        <v>28</v>
      </c>
      <c r="AG88" s="1"/>
      <c r="AH88" s="1"/>
      <c r="AI88" s="5"/>
      <c r="AJ88" s="140">
        <f>SUM(AJ56:AJ87)</f>
        <v>11</v>
      </c>
      <c r="AL88" s="47"/>
      <c r="AM88" s="23"/>
      <c r="AN88" s="24"/>
    </row>
    <row r="89" spans="2:40" ht="21" x14ac:dyDescent="0.3">
      <c r="B89" s="244"/>
      <c r="C89" s="244"/>
      <c r="D89" s="244"/>
      <c r="E89" s="343" t="s">
        <v>178</v>
      </c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4"/>
      <c r="AG89" s="102"/>
      <c r="AH89" s="1"/>
      <c r="AI89" s="5"/>
      <c r="AL89" s="47"/>
      <c r="AM89" s="23"/>
      <c r="AN89" s="24"/>
    </row>
    <row r="90" spans="2:40" ht="15.75" thickBot="1" x14ac:dyDescent="0.25">
      <c r="B90" s="244"/>
      <c r="C90" s="244"/>
      <c r="D90" s="244"/>
      <c r="E90" s="4"/>
      <c r="F90" s="1"/>
      <c r="G90" s="1"/>
      <c r="H90" s="1"/>
      <c r="I90" s="1"/>
      <c r="J90" s="38"/>
      <c r="K90" s="38"/>
      <c r="L90" s="1"/>
      <c r="M90" s="1"/>
      <c r="N90" s="1"/>
      <c r="O90" s="1"/>
      <c r="P90" s="1"/>
      <c r="Q90" s="38"/>
      <c r="R90" s="38"/>
      <c r="S90" s="1"/>
      <c r="T90" s="1"/>
      <c r="U90" s="1"/>
      <c r="V90" s="1"/>
      <c r="W90" s="1"/>
      <c r="X90" s="38"/>
      <c r="Y90" s="38"/>
      <c r="Z90" s="1"/>
      <c r="AA90" s="1"/>
      <c r="AB90" s="59"/>
      <c r="AC90" s="59"/>
      <c r="AD90" s="59"/>
      <c r="AE90" s="104"/>
      <c r="AF90" s="104"/>
      <c r="AG90" s="1"/>
      <c r="AH90" s="1"/>
      <c r="AI90" s="5"/>
      <c r="AL90" s="47"/>
      <c r="AM90" s="23"/>
      <c r="AN90" s="27"/>
    </row>
    <row r="91" spans="2:40" ht="15.75" thickBot="1" x14ac:dyDescent="0.25">
      <c r="B91" s="244"/>
      <c r="C91" s="244"/>
      <c r="D91" s="244"/>
      <c r="E91" s="4"/>
      <c r="F91" s="1"/>
      <c r="G91" s="1"/>
      <c r="H91" s="1"/>
      <c r="I91" s="1"/>
      <c r="J91" s="38"/>
      <c r="K91" s="38"/>
      <c r="L91" s="22" t="s">
        <v>9</v>
      </c>
      <c r="M91" s="1"/>
      <c r="N91" s="1"/>
      <c r="O91" s="1"/>
      <c r="P91" s="1"/>
      <c r="Q91" s="38"/>
      <c r="R91" s="38"/>
      <c r="S91" s="141" t="s">
        <v>82</v>
      </c>
      <c r="T91" s="1"/>
      <c r="U91" s="1"/>
      <c r="V91" s="1"/>
      <c r="W91" s="1"/>
      <c r="X91" s="38"/>
      <c r="Y91" s="38"/>
      <c r="Z91" s="1"/>
      <c r="AA91" s="1"/>
      <c r="AB91" s="1"/>
      <c r="AC91" s="1"/>
      <c r="AD91" s="1"/>
      <c r="AE91" s="38"/>
      <c r="AF91" s="38"/>
      <c r="AG91" s="1"/>
      <c r="AH91" s="1"/>
      <c r="AI91" s="5"/>
      <c r="AL91" s="47"/>
      <c r="AM91" s="26"/>
      <c r="AN91" s="29">
        <v>0</v>
      </c>
    </row>
    <row r="92" spans="2:40" ht="15.75" thickBot="1" x14ac:dyDescent="0.25">
      <c r="B92" s="244"/>
      <c r="C92" s="244"/>
      <c r="D92" s="17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L92" s="47"/>
      <c r="AM92" s="23"/>
      <c r="AN92" s="28"/>
    </row>
    <row r="93" spans="2:40" x14ac:dyDescent="0.2">
      <c r="B93" s="244"/>
      <c r="C93" s="244"/>
      <c r="D93" s="244">
        <v>3</v>
      </c>
      <c r="E93" s="194">
        <v>46447</v>
      </c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6"/>
      <c r="AJ93" s="168" t="s">
        <v>87</v>
      </c>
      <c r="AK93" s="168" t="s">
        <v>61</v>
      </c>
      <c r="AL93" s="47">
        <f>SUM(AL87+2.5-AN91)</f>
        <v>10</v>
      </c>
      <c r="AM93" s="23"/>
      <c r="AN93" s="24"/>
    </row>
    <row r="94" spans="2:40" ht="31.5" x14ac:dyDescent="0.45">
      <c r="B94" s="244"/>
      <c r="C94" s="244"/>
      <c r="D94" s="244"/>
      <c r="E94" s="4">
        <v>1</v>
      </c>
      <c r="F94" s="1">
        <v>2</v>
      </c>
      <c r="G94" s="1">
        <v>3</v>
      </c>
      <c r="H94" s="1">
        <v>4</v>
      </c>
      <c r="I94" s="1">
        <v>5</v>
      </c>
      <c r="J94" s="10">
        <v>6</v>
      </c>
      <c r="K94" s="10">
        <v>7</v>
      </c>
      <c r="L94" s="1">
        <v>8</v>
      </c>
      <c r="M94" s="1">
        <v>9</v>
      </c>
      <c r="N94" s="1">
        <v>10</v>
      </c>
      <c r="O94" s="1">
        <v>11</v>
      </c>
      <c r="P94" s="1">
        <v>12</v>
      </c>
      <c r="Q94" s="10">
        <v>13</v>
      </c>
      <c r="R94" s="10">
        <v>14</v>
      </c>
      <c r="S94" s="1">
        <v>15</v>
      </c>
      <c r="T94" s="1">
        <v>16</v>
      </c>
      <c r="U94" s="1">
        <v>17</v>
      </c>
      <c r="V94" s="1">
        <v>18</v>
      </c>
      <c r="W94" s="1">
        <v>19</v>
      </c>
      <c r="X94" s="10">
        <v>20</v>
      </c>
      <c r="Y94" s="10">
        <v>21</v>
      </c>
      <c r="Z94" s="1">
        <v>22</v>
      </c>
      <c r="AA94" s="1">
        <v>23</v>
      </c>
      <c r="AB94" s="1">
        <v>24</v>
      </c>
      <c r="AC94" s="1">
        <v>25</v>
      </c>
      <c r="AD94" s="1">
        <v>26</v>
      </c>
      <c r="AE94" s="10">
        <v>27</v>
      </c>
      <c r="AF94" s="10">
        <v>28</v>
      </c>
      <c r="AG94" s="1">
        <v>29</v>
      </c>
      <c r="AH94" s="1">
        <v>30</v>
      </c>
      <c r="AI94" s="5">
        <v>31</v>
      </c>
      <c r="AJ94" s="160">
        <f>(AL117)</f>
        <v>0.5</v>
      </c>
      <c r="AL94" s="47"/>
      <c r="AM94" s="23"/>
      <c r="AN94" s="24"/>
    </row>
    <row r="95" spans="2:40" ht="21.75" thickBot="1" x14ac:dyDescent="0.35">
      <c r="B95" s="244"/>
      <c r="C95" s="244"/>
      <c r="D95" s="244"/>
      <c r="E95" s="321" t="s">
        <v>177</v>
      </c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  <c r="AA95" s="325"/>
      <c r="AB95" s="325"/>
      <c r="AC95" s="325"/>
      <c r="AD95" s="325"/>
      <c r="AE95" s="325"/>
      <c r="AF95" s="325"/>
      <c r="AG95" s="325"/>
      <c r="AH95" s="325"/>
      <c r="AI95" s="326"/>
      <c r="AL95" s="47"/>
      <c r="AM95" s="23"/>
      <c r="AN95" s="24"/>
    </row>
    <row r="96" spans="2:40" ht="15.75" thickBot="1" x14ac:dyDescent="0.25">
      <c r="B96" s="244"/>
      <c r="C96" s="244"/>
      <c r="D96" s="244"/>
      <c r="E96" s="4"/>
      <c r="F96" s="1"/>
      <c r="G96" s="1"/>
      <c r="H96" s="1"/>
      <c r="I96" s="1"/>
      <c r="J96" s="10"/>
      <c r="K96" s="10"/>
      <c r="L96" s="1"/>
      <c r="M96" s="1"/>
      <c r="N96" s="1"/>
      <c r="O96" s="1"/>
      <c r="P96" s="1"/>
      <c r="Q96" s="10"/>
      <c r="R96" s="10"/>
      <c r="S96" s="1"/>
      <c r="T96" s="1"/>
      <c r="U96" s="1"/>
      <c r="V96" s="1"/>
      <c r="W96" s="1"/>
      <c r="X96" s="10"/>
      <c r="Y96" s="10"/>
      <c r="Z96" s="1"/>
      <c r="AA96" s="1"/>
      <c r="AB96" s="1"/>
      <c r="AC96" s="1"/>
      <c r="AD96" s="1"/>
      <c r="AE96" s="10"/>
      <c r="AF96" s="10"/>
      <c r="AG96" s="1"/>
      <c r="AH96" s="1"/>
      <c r="AI96" s="5"/>
      <c r="AL96" s="47"/>
      <c r="AM96" s="23"/>
      <c r="AN96" s="27"/>
    </row>
    <row r="97" spans="2:40" ht="15.75" thickBot="1" x14ac:dyDescent="0.25">
      <c r="B97" s="244"/>
      <c r="C97" s="244"/>
      <c r="D97" s="244"/>
      <c r="E97" s="4"/>
      <c r="F97" s="1"/>
      <c r="G97" s="1"/>
      <c r="H97" s="1"/>
      <c r="I97" s="1"/>
      <c r="J97" s="10"/>
      <c r="K97" s="10"/>
      <c r="L97" s="1"/>
      <c r="M97" s="1"/>
      <c r="N97" s="1"/>
      <c r="O97" s="1"/>
      <c r="P97" s="1"/>
      <c r="Q97" s="10"/>
      <c r="R97" s="10"/>
      <c r="S97" s="1"/>
      <c r="T97" s="1"/>
      <c r="U97" s="1"/>
      <c r="V97" s="1"/>
      <c r="W97" s="1"/>
      <c r="X97" s="10"/>
      <c r="Y97" s="10"/>
      <c r="Z97" s="1"/>
      <c r="AA97" s="1"/>
      <c r="AB97" s="1"/>
      <c r="AC97" s="1"/>
      <c r="AD97" s="1"/>
      <c r="AE97" s="10"/>
      <c r="AF97" s="10"/>
      <c r="AG97" s="1"/>
      <c r="AH97" s="1"/>
      <c r="AI97" s="5"/>
      <c r="AL97" s="47"/>
      <c r="AM97" s="26"/>
      <c r="AN97" s="29">
        <v>0</v>
      </c>
    </row>
    <row r="98" spans="2:40" ht="15.75" thickBot="1" x14ac:dyDescent="0.25">
      <c r="B98" s="244"/>
      <c r="C98" s="244"/>
      <c r="D98" s="179"/>
      <c r="AL98" s="47"/>
      <c r="AM98" s="23"/>
      <c r="AN98" s="28"/>
    </row>
    <row r="99" spans="2:40" x14ac:dyDescent="0.2">
      <c r="B99" s="244"/>
      <c r="C99" s="244"/>
      <c r="D99" s="244">
        <v>4</v>
      </c>
      <c r="E99" s="194">
        <v>46478</v>
      </c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6"/>
      <c r="AK99" s="168" t="s">
        <v>62</v>
      </c>
      <c r="AL99" s="47">
        <f>SUM(AL93+2.5-AN97)</f>
        <v>12.5</v>
      </c>
      <c r="AM99" s="23"/>
      <c r="AN99" s="24"/>
    </row>
    <row r="100" spans="2:40" x14ac:dyDescent="0.2">
      <c r="B100" s="244"/>
      <c r="C100" s="244"/>
      <c r="D100" s="244"/>
      <c r="E100" s="4">
        <v>1</v>
      </c>
      <c r="F100" s="1">
        <v>2</v>
      </c>
      <c r="G100" s="10">
        <v>3</v>
      </c>
      <c r="H100" s="10">
        <v>4</v>
      </c>
      <c r="I100" s="1">
        <v>5</v>
      </c>
      <c r="J100" s="1">
        <v>6</v>
      </c>
      <c r="K100" s="1">
        <v>7</v>
      </c>
      <c r="L100" s="1">
        <v>8</v>
      </c>
      <c r="M100" s="1">
        <v>9</v>
      </c>
      <c r="N100" s="10">
        <v>10</v>
      </c>
      <c r="O100" s="10">
        <v>11</v>
      </c>
      <c r="P100" s="1">
        <v>12</v>
      </c>
      <c r="Q100" s="1">
        <v>13</v>
      </c>
      <c r="R100" s="1">
        <v>14</v>
      </c>
      <c r="S100" s="1">
        <v>15</v>
      </c>
      <c r="T100" s="1">
        <v>16</v>
      </c>
      <c r="U100" s="10">
        <v>17</v>
      </c>
      <c r="V100" s="10">
        <v>18</v>
      </c>
      <c r="W100" s="1">
        <v>19</v>
      </c>
      <c r="X100" s="1">
        <v>20</v>
      </c>
      <c r="Y100" s="1">
        <v>21</v>
      </c>
      <c r="Z100" s="1">
        <v>22</v>
      </c>
      <c r="AA100" s="1">
        <v>23</v>
      </c>
      <c r="AB100" s="10">
        <v>24</v>
      </c>
      <c r="AC100" s="10">
        <v>25</v>
      </c>
      <c r="AD100" s="1">
        <v>26</v>
      </c>
      <c r="AE100" s="1">
        <v>27</v>
      </c>
      <c r="AF100" s="1">
        <v>28</v>
      </c>
      <c r="AG100" s="1">
        <v>29</v>
      </c>
      <c r="AH100" s="1">
        <v>30</v>
      </c>
      <c r="AI100" s="5"/>
      <c r="AL100" s="47"/>
      <c r="AM100" s="23"/>
      <c r="AN100" s="24"/>
    </row>
    <row r="101" spans="2:40" ht="21.75" thickBot="1" x14ac:dyDescent="0.35">
      <c r="B101" s="244"/>
      <c r="C101" s="244"/>
      <c r="D101" s="244"/>
      <c r="E101" s="321" t="s">
        <v>179</v>
      </c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322"/>
      <c r="AB101" s="322"/>
      <c r="AC101" s="322"/>
      <c r="AD101" s="322"/>
      <c r="AE101" s="322"/>
      <c r="AF101" s="322"/>
      <c r="AG101" s="322"/>
      <c r="AH101" s="322"/>
      <c r="AI101" s="65"/>
      <c r="AL101" s="47"/>
      <c r="AM101" s="23"/>
      <c r="AN101" s="24"/>
    </row>
    <row r="102" spans="2:40" ht="15.75" thickBot="1" x14ac:dyDescent="0.25">
      <c r="B102" s="244"/>
      <c r="C102" s="244"/>
      <c r="D102" s="244"/>
      <c r="E102" s="4"/>
      <c r="F102" s="1"/>
      <c r="G102" s="10"/>
      <c r="H102" s="10"/>
      <c r="I102" s="1"/>
      <c r="J102" s="1"/>
      <c r="K102" s="1"/>
      <c r="L102" s="1"/>
      <c r="M102" s="1"/>
      <c r="N102" s="10"/>
      <c r="O102" s="10"/>
      <c r="P102" s="1"/>
      <c r="Q102" s="1"/>
      <c r="R102" s="1"/>
      <c r="S102" s="1"/>
      <c r="T102" s="1"/>
      <c r="U102" s="10"/>
      <c r="V102" s="10"/>
      <c r="W102" s="1"/>
      <c r="X102" s="1"/>
      <c r="Y102" s="1"/>
      <c r="Z102" s="1"/>
      <c r="AA102" s="1"/>
      <c r="AB102" s="10"/>
      <c r="AC102" s="10"/>
      <c r="AD102" s="1"/>
      <c r="AE102" s="1"/>
      <c r="AF102" s="1"/>
      <c r="AG102" s="1"/>
      <c r="AH102" s="1"/>
      <c r="AI102" s="5"/>
      <c r="AL102" s="47"/>
      <c r="AM102" s="23"/>
      <c r="AN102" s="27"/>
    </row>
    <row r="103" spans="2:40" ht="15.75" thickBot="1" x14ac:dyDescent="0.25">
      <c r="B103" s="244"/>
      <c r="C103" s="244"/>
      <c r="D103" s="244"/>
      <c r="E103" s="4"/>
      <c r="F103" s="1"/>
      <c r="G103" s="10"/>
      <c r="H103" s="10"/>
      <c r="I103" s="1"/>
      <c r="J103" s="1"/>
      <c r="K103" s="1"/>
      <c r="L103" s="1"/>
      <c r="M103" s="1"/>
      <c r="N103" s="10"/>
      <c r="O103" s="10"/>
      <c r="P103" s="1"/>
      <c r="Q103" s="1"/>
      <c r="R103" s="1"/>
      <c r="S103" s="1"/>
      <c r="T103" s="1"/>
      <c r="U103" s="10"/>
      <c r="V103" s="10"/>
      <c r="W103" s="1"/>
      <c r="X103" s="1"/>
      <c r="Y103" s="1"/>
      <c r="Z103" s="1"/>
      <c r="AA103" s="1"/>
      <c r="AB103" s="10"/>
      <c r="AC103" s="10"/>
      <c r="AD103" s="1"/>
      <c r="AE103" s="1"/>
      <c r="AF103" s="1"/>
      <c r="AG103" s="1"/>
      <c r="AH103" s="1"/>
      <c r="AI103" s="5"/>
      <c r="AL103" s="47"/>
      <c r="AM103" s="26"/>
      <c r="AN103" s="29">
        <v>0</v>
      </c>
    </row>
    <row r="104" spans="2:40" ht="15.75" thickBot="1" x14ac:dyDescent="0.25">
      <c r="B104" s="244"/>
      <c r="C104" s="244"/>
      <c r="D104" s="179"/>
      <c r="AL104" s="47"/>
      <c r="AM104" s="23"/>
      <c r="AN104" s="28"/>
    </row>
    <row r="105" spans="2:40" x14ac:dyDescent="0.2">
      <c r="B105" s="244"/>
      <c r="C105" s="244"/>
      <c r="D105" s="244">
        <v>5</v>
      </c>
      <c r="E105" s="194">
        <v>46508</v>
      </c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6"/>
      <c r="AK105" s="168" t="s">
        <v>51</v>
      </c>
      <c r="AL105" s="47">
        <f>SUM(AL99+2.5-AN103)</f>
        <v>15</v>
      </c>
      <c r="AM105" s="23"/>
      <c r="AN105" s="24"/>
    </row>
    <row r="106" spans="2:40" x14ac:dyDescent="0.2">
      <c r="B106" s="244"/>
      <c r="C106" s="244"/>
      <c r="D106" s="244"/>
      <c r="E106" s="12">
        <v>1</v>
      </c>
      <c r="F106" s="10">
        <v>2</v>
      </c>
      <c r="G106" s="1">
        <v>3</v>
      </c>
      <c r="H106" s="1">
        <v>4</v>
      </c>
      <c r="I106" s="1">
        <v>5</v>
      </c>
      <c r="J106" s="1">
        <v>6</v>
      </c>
      <c r="K106" s="1">
        <v>7</v>
      </c>
      <c r="L106" s="10">
        <v>8</v>
      </c>
      <c r="M106" s="10">
        <v>9</v>
      </c>
      <c r="N106" s="1">
        <v>10</v>
      </c>
      <c r="O106" s="1">
        <v>11</v>
      </c>
      <c r="P106" s="1">
        <v>12</v>
      </c>
      <c r="Q106" s="1">
        <v>13</v>
      </c>
      <c r="R106" s="1">
        <v>14</v>
      </c>
      <c r="S106" s="10">
        <v>15</v>
      </c>
      <c r="T106" s="10">
        <v>16</v>
      </c>
      <c r="U106" s="1">
        <v>17</v>
      </c>
      <c r="V106" s="1">
        <v>18</v>
      </c>
      <c r="W106" s="1">
        <v>19</v>
      </c>
      <c r="X106" s="1">
        <v>20</v>
      </c>
      <c r="Y106" s="1">
        <v>21</v>
      </c>
      <c r="Z106" s="10">
        <v>22</v>
      </c>
      <c r="AA106" s="10">
        <v>23</v>
      </c>
      <c r="AB106" s="1">
        <v>24</v>
      </c>
      <c r="AC106" s="1">
        <v>25</v>
      </c>
      <c r="AD106" s="1">
        <v>26</v>
      </c>
      <c r="AE106" s="1">
        <v>27</v>
      </c>
      <c r="AF106" s="1">
        <v>28</v>
      </c>
      <c r="AG106" s="10">
        <v>29</v>
      </c>
      <c r="AH106" s="10">
        <v>30</v>
      </c>
      <c r="AI106" s="5">
        <v>31</v>
      </c>
      <c r="AL106" s="47"/>
      <c r="AM106" s="23"/>
      <c r="AN106" s="24"/>
    </row>
    <row r="107" spans="2:40" ht="21.75" thickBot="1" x14ac:dyDescent="0.35">
      <c r="B107" s="244"/>
      <c r="C107" s="244"/>
      <c r="D107" s="244"/>
      <c r="E107" s="322" t="s">
        <v>176</v>
      </c>
      <c r="F107" s="322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322"/>
      <c r="AB107" s="322"/>
      <c r="AC107" s="322"/>
      <c r="AD107" s="322"/>
      <c r="AE107" s="322"/>
      <c r="AF107" s="322"/>
      <c r="AG107" s="322"/>
      <c r="AH107" s="322"/>
      <c r="AI107" s="342"/>
      <c r="AL107" s="47"/>
      <c r="AM107" s="23"/>
      <c r="AN107" s="24"/>
    </row>
    <row r="108" spans="2:40" ht="15.75" thickBot="1" x14ac:dyDescent="0.25">
      <c r="B108" s="244"/>
      <c r="C108" s="244"/>
      <c r="D108" s="244"/>
      <c r="E108" s="12"/>
      <c r="F108" s="10"/>
      <c r="G108" s="1"/>
      <c r="H108" s="1"/>
      <c r="I108" s="1"/>
      <c r="J108" s="1"/>
      <c r="K108" s="1"/>
      <c r="L108" s="10"/>
      <c r="M108" s="10"/>
      <c r="N108" s="1"/>
      <c r="O108" s="1"/>
      <c r="P108" s="1"/>
      <c r="Q108" s="1"/>
      <c r="R108" s="1"/>
      <c r="S108" s="10"/>
      <c r="T108" s="10"/>
      <c r="U108" s="1"/>
      <c r="V108" s="1"/>
      <c r="W108" s="1"/>
      <c r="X108" s="1"/>
      <c r="Y108" s="1"/>
      <c r="Z108" s="10"/>
      <c r="AA108" s="10"/>
      <c r="AB108" s="1"/>
      <c r="AC108" s="1"/>
      <c r="AD108" s="1"/>
      <c r="AE108" s="1"/>
      <c r="AF108" s="1"/>
      <c r="AG108" s="10"/>
      <c r="AH108" s="10"/>
      <c r="AI108" s="5"/>
      <c r="AL108" s="47"/>
      <c r="AM108" s="23"/>
      <c r="AN108" s="27"/>
    </row>
    <row r="109" spans="2:40" ht="15.75" thickBot="1" x14ac:dyDescent="0.25">
      <c r="B109" s="244"/>
      <c r="C109" s="244"/>
      <c r="D109" s="244"/>
      <c r="E109" s="12"/>
      <c r="F109" s="10"/>
      <c r="G109" s="1"/>
      <c r="H109" s="1"/>
      <c r="I109" s="1"/>
      <c r="J109" s="1"/>
      <c r="K109" s="1"/>
      <c r="L109" s="10"/>
      <c r="M109" s="10"/>
      <c r="N109" s="1"/>
      <c r="O109" s="1"/>
      <c r="P109" s="1"/>
      <c r="Q109" s="1"/>
      <c r="R109" s="1"/>
      <c r="S109" s="10"/>
      <c r="T109" s="10"/>
      <c r="U109" s="1"/>
      <c r="V109" s="1"/>
      <c r="W109" s="1"/>
      <c r="X109" s="1"/>
      <c r="Y109" s="1"/>
      <c r="Z109" s="10"/>
      <c r="AA109" s="10"/>
      <c r="AB109" s="1"/>
      <c r="AC109" s="1"/>
      <c r="AD109" s="1"/>
      <c r="AE109" s="1"/>
      <c r="AF109" s="1"/>
      <c r="AG109" s="10"/>
      <c r="AH109" s="10"/>
      <c r="AI109" s="5"/>
      <c r="AL109" s="47"/>
      <c r="AM109" s="26"/>
      <c r="AN109" s="29">
        <v>0</v>
      </c>
    </row>
    <row r="110" spans="2:40" ht="15.75" thickBot="1" x14ac:dyDescent="0.25">
      <c r="B110" s="244"/>
      <c r="C110" s="244"/>
      <c r="D110" s="179"/>
      <c r="AL110" s="47"/>
      <c r="AM110" s="23"/>
      <c r="AN110" s="28"/>
    </row>
    <row r="111" spans="2:40" x14ac:dyDescent="0.2">
      <c r="B111" s="244"/>
      <c r="C111" s="244"/>
      <c r="D111" s="244">
        <v>6</v>
      </c>
      <c r="E111" s="194">
        <v>46539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6"/>
      <c r="AK111" s="168" t="s">
        <v>52</v>
      </c>
      <c r="AL111" s="47">
        <f>SUM(AL105+2.5-AN109)</f>
        <v>17.5</v>
      </c>
      <c r="AM111" s="23"/>
      <c r="AN111" s="24"/>
    </row>
    <row r="112" spans="2:40" x14ac:dyDescent="0.2">
      <c r="B112" s="244"/>
      <c r="C112" s="244"/>
      <c r="D112" s="244"/>
      <c r="E112" s="4">
        <v>1</v>
      </c>
      <c r="F112" s="1">
        <v>2</v>
      </c>
      <c r="G112" s="1">
        <v>3</v>
      </c>
      <c r="H112" s="1">
        <v>4</v>
      </c>
      <c r="I112" s="10">
        <v>5</v>
      </c>
      <c r="J112" s="10">
        <v>6</v>
      </c>
      <c r="K112" s="1">
        <v>7</v>
      </c>
      <c r="L112" s="1">
        <v>8</v>
      </c>
      <c r="M112" s="1">
        <v>9</v>
      </c>
      <c r="N112" s="1">
        <v>10</v>
      </c>
      <c r="O112" s="1">
        <v>11</v>
      </c>
      <c r="P112" s="10">
        <v>12</v>
      </c>
      <c r="Q112" s="10">
        <v>13</v>
      </c>
      <c r="R112" s="1">
        <v>14</v>
      </c>
      <c r="S112" s="1">
        <v>15</v>
      </c>
      <c r="T112" s="1">
        <v>16</v>
      </c>
      <c r="U112" s="1">
        <v>17</v>
      </c>
      <c r="V112" s="1">
        <v>18</v>
      </c>
      <c r="W112" s="10">
        <v>19</v>
      </c>
      <c r="X112" s="10">
        <v>20</v>
      </c>
      <c r="Y112" s="1">
        <v>21</v>
      </c>
      <c r="Z112" s="1">
        <v>22</v>
      </c>
      <c r="AA112" s="1">
        <v>23</v>
      </c>
      <c r="AB112" s="1">
        <v>24</v>
      </c>
      <c r="AC112" s="1">
        <v>25</v>
      </c>
      <c r="AD112" s="10">
        <v>26</v>
      </c>
      <c r="AE112" s="10">
        <v>27</v>
      </c>
      <c r="AF112" s="1">
        <v>28</v>
      </c>
      <c r="AG112" s="1">
        <v>29</v>
      </c>
      <c r="AH112" s="1">
        <v>30</v>
      </c>
      <c r="AI112" s="5"/>
      <c r="AL112" s="47"/>
      <c r="AM112" s="23"/>
      <c r="AN112" s="24"/>
    </row>
    <row r="113" spans="2:40" ht="21.75" thickBot="1" x14ac:dyDescent="0.35">
      <c r="B113" s="244"/>
      <c r="C113" s="244"/>
      <c r="D113" s="244"/>
      <c r="E113" s="351" t="s">
        <v>170</v>
      </c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07" t="s">
        <v>171</v>
      </c>
      <c r="S113" s="307"/>
      <c r="T113" s="307"/>
      <c r="U113" s="307"/>
      <c r="V113" s="307"/>
      <c r="W113" s="307"/>
      <c r="X113" s="307"/>
      <c r="Y113" s="307"/>
      <c r="Z113" s="307"/>
      <c r="AA113" s="307"/>
      <c r="AB113" s="307"/>
      <c r="AC113" s="307"/>
      <c r="AD113" s="307"/>
      <c r="AE113" s="307"/>
      <c r="AF113" s="307"/>
      <c r="AG113" s="307"/>
      <c r="AH113" s="307"/>
      <c r="AI113" s="124"/>
      <c r="AL113" s="47"/>
      <c r="AM113" s="23"/>
      <c r="AN113" s="24"/>
    </row>
    <row r="114" spans="2:40" ht="15.75" thickBot="1" x14ac:dyDescent="0.25">
      <c r="B114" s="244"/>
      <c r="C114" s="244"/>
      <c r="D114" s="244"/>
      <c r="E114" s="99"/>
      <c r="F114" s="102"/>
      <c r="G114" s="1"/>
      <c r="H114" s="1"/>
      <c r="I114" s="10"/>
      <c r="J114" s="10"/>
      <c r="K114" s="1"/>
      <c r="L114" s="1"/>
      <c r="M114" s="1"/>
      <c r="N114" s="1"/>
      <c r="O114" s="1"/>
      <c r="P114" s="10"/>
      <c r="Q114" s="10"/>
      <c r="R114" s="1"/>
      <c r="S114" s="1"/>
      <c r="T114" s="1"/>
      <c r="U114" s="1"/>
      <c r="V114" s="1"/>
      <c r="W114" s="10"/>
      <c r="X114" s="10"/>
      <c r="Y114" s="1"/>
      <c r="Z114" s="1"/>
      <c r="AA114" s="1"/>
      <c r="AB114" s="1"/>
      <c r="AC114" s="1"/>
      <c r="AD114" s="10"/>
      <c r="AE114" s="10"/>
      <c r="AF114" s="1"/>
      <c r="AG114" s="1"/>
      <c r="AH114" s="1"/>
      <c r="AI114" s="5"/>
      <c r="AL114" s="47"/>
      <c r="AM114" s="23"/>
      <c r="AN114" s="27"/>
    </row>
    <row r="115" spans="2:40" ht="15.75" thickBot="1" x14ac:dyDescent="0.25">
      <c r="B115" s="244"/>
      <c r="C115" s="244"/>
      <c r="D115" s="244"/>
      <c r="E115" s="99"/>
      <c r="F115" s="102"/>
      <c r="G115" s="1"/>
      <c r="H115" s="1"/>
      <c r="I115" s="10"/>
      <c r="J115" s="10"/>
      <c r="K115" s="1"/>
      <c r="L115" s="1"/>
      <c r="M115" s="1"/>
      <c r="N115" s="1"/>
      <c r="O115" s="1"/>
      <c r="P115" s="10"/>
      <c r="Q115" s="10"/>
      <c r="R115" s="1"/>
      <c r="S115" s="1"/>
      <c r="T115" s="1"/>
      <c r="U115" s="1"/>
      <c r="V115" s="143" t="s">
        <v>91</v>
      </c>
      <c r="W115" s="10"/>
      <c r="X115" s="10"/>
      <c r="Y115" s="1"/>
      <c r="Z115" s="1"/>
      <c r="AA115" s="1"/>
      <c r="AB115" s="1"/>
      <c r="AC115" s="1"/>
      <c r="AD115" s="10"/>
      <c r="AE115" s="10"/>
      <c r="AF115" s="1"/>
      <c r="AG115" s="1"/>
      <c r="AH115" s="1"/>
      <c r="AI115" s="5"/>
      <c r="AL115" s="48"/>
      <c r="AM115" s="26"/>
      <c r="AN115" s="29">
        <v>17</v>
      </c>
    </row>
    <row r="116" spans="2:40" ht="35.25" thickBot="1" x14ac:dyDescent="0.55000000000000004">
      <c r="AJ116" s="55"/>
      <c r="AK116" s="55"/>
      <c r="AL116" s="54" t="s">
        <v>11</v>
      </c>
      <c r="AM116" s="148"/>
      <c r="AN116" s="28"/>
    </row>
    <row r="117" spans="2:40" ht="35.25" thickBot="1" x14ac:dyDescent="0.55000000000000004">
      <c r="E117" s="194">
        <v>46569</v>
      </c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6"/>
      <c r="AJ117" s="55"/>
      <c r="AK117" s="55" t="s">
        <v>53</v>
      </c>
      <c r="AL117" s="53">
        <f>SUM(AL111-AN115)</f>
        <v>0.5</v>
      </c>
      <c r="AM117" s="148"/>
      <c r="AN117" s="24"/>
    </row>
    <row r="118" spans="2:40" x14ac:dyDescent="0.2">
      <c r="E118" s="16">
        <v>1</v>
      </c>
      <c r="F118" s="1">
        <v>2</v>
      </c>
      <c r="G118" s="10">
        <v>3</v>
      </c>
      <c r="H118" s="10">
        <v>4</v>
      </c>
      <c r="I118" s="1">
        <v>5</v>
      </c>
      <c r="J118" s="1">
        <v>6</v>
      </c>
      <c r="K118" s="1">
        <v>7</v>
      </c>
      <c r="L118" s="1">
        <v>8</v>
      </c>
      <c r="M118" s="1">
        <v>9</v>
      </c>
      <c r="N118" s="10">
        <v>10</v>
      </c>
      <c r="O118" s="10">
        <v>11</v>
      </c>
      <c r="P118" s="1">
        <v>12</v>
      </c>
      <c r="Q118" s="1">
        <v>13</v>
      </c>
      <c r="R118" s="1">
        <v>14</v>
      </c>
      <c r="S118" s="1">
        <v>15</v>
      </c>
      <c r="T118" s="1">
        <v>16</v>
      </c>
      <c r="U118" s="10">
        <v>17</v>
      </c>
      <c r="V118" s="10">
        <v>18</v>
      </c>
      <c r="W118" s="1">
        <v>19</v>
      </c>
      <c r="X118" s="1">
        <v>20</v>
      </c>
      <c r="Y118" s="1">
        <v>21</v>
      </c>
      <c r="Z118" s="1">
        <v>22</v>
      </c>
      <c r="AA118" s="1">
        <v>23</v>
      </c>
      <c r="AB118" s="10">
        <v>24</v>
      </c>
      <c r="AC118" s="10">
        <v>25</v>
      </c>
      <c r="AD118" s="1">
        <v>26</v>
      </c>
      <c r="AE118" s="1">
        <v>27</v>
      </c>
      <c r="AF118" s="1">
        <v>28</v>
      </c>
      <c r="AG118" s="1">
        <v>29</v>
      </c>
      <c r="AH118" s="1">
        <v>30</v>
      </c>
      <c r="AI118" s="14">
        <v>31</v>
      </c>
      <c r="AL118" s="49"/>
      <c r="AM118" s="23"/>
      <c r="AN118" s="24"/>
    </row>
    <row r="119" spans="2:40" x14ac:dyDescent="0.2">
      <c r="E119" s="20" t="s">
        <v>1</v>
      </c>
      <c r="F119" s="1"/>
      <c r="G119" s="10"/>
      <c r="H119" s="10"/>
      <c r="I119" s="1"/>
      <c r="J119" s="1"/>
      <c r="K119" s="1"/>
      <c r="L119" s="1"/>
      <c r="M119" s="1"/>
      <c r="N119" s="10"/>
      <c r="O119" s="10"/>
      <c r="P119" s="1"/>
      <c r="Q119" s="1"/>
      <c r="R119" s="1"/>
      <c r="S119" s="1"/>
      <c r="T119" s="1"/>
      <c r="U119" s="10"/>
      <c r="V119" s="10"/>
      <c r="W119" s="1"/>
      <c r="X119" s="1"/>
      <c r="Y119" s="1"/>
      <c r="Z119" s="1"/>
      <c r="AA119" s="1"/>
      <c r="AB119" s="10"/>
      <c r="AC119" s="10"/>
      <c r="AD119" s="1"/>
      <c r="AE119" s="1"/>
      <c r="AF119" s="1"/>
      <c r="AG119" s="1"/>
      <c r="AH119" s="1"/>
      <c r="AI119" s="14"/>
      <c r="AL119" s="47"/>
      <c r="AM119" s="23"/>
      <c r="AN119" s="24"/>
    </row>
    <row r="120" spans="2:40" x14ac:dyDescent="0.2">
      <c r="E120" s="16"/>
      <c r="F120" s="1"/>
      <c r="G120" s="10"/>
      <c r="H120" s="10"/>
      <c r="I120" s="1"/>
      <c r="J120" s="1"/>
      <c r="K120" s="1"/>
      <c r="L120" s="1"/>
      <c r="M120" s="1"/>
      <c r="N120" s="10"/>
      <c r="O120" s="10"/>
      <c r="P120" s="1"/>
      <c r="Q120" s="1"/>
      <c r="R120" s="1"/>
      <c r="S120" s="1"/>
      <c r="T120" s="1"/>
      <c r="U120" s="10"/>
      <c r="V120" s="10"/>
      <c r="W120" s="1"/>
      <c r="X120" s="1"/>
      <c r="Y120" s="1"/>
      <c r="Z120" s="1"/>
      <c r="AA120" s="1"/>
      <c r="AB120" s="10"/>
      <c r="AC120" s="10"/>
      <c r="AD120" s="1"/>
      <c r="AE120" s="1"/>
      <c r="AF120" s="1"/>
      <c r="AG120" s="1"/>
      <c r="AH120" s="1"/>
      <c r="AI120" s="14"/>
      <c r="AL120" s="47"/>
      <c r="AM120" s="23"/>
      <c r="AN120" s="24"/>
    </row>
    <row r="121" spans="2:40" ht="15.75" thickBot="1" x14ac:dyDescent="0.25">
      <c r="E121" s="17"/>
      <c r="F121" s="7"/>
      <c r="G121" s="11"/>
      <c r="H121" s="11"/>
      <c r="I121" s="7"/>
      <c r="J121" s="7"/>
      <c r="K121" s="7"/>
      <c r="L121" s="7"/>
      <c r="M121" s="7"/>
      <c r="N121" s="11"/>
      <c r="O121" s="11"/>
      <c r="P121" s="7"/>
      <c r="Q121" s="7"/>
      <c r="R121" s="7"/>
      <c r="S121" s="7"/>
      <c r="T121" s="7"/>
      <c r="U121" s="11"/>
      <c r="V121" s="11"/>
      <c r="W121" s="7"/>
      <c r="X121" s="7"/>
      <c r="Y121" s="7"/>
      <c r="Z121" s="7"/>
      <c r="AA121" s="7"/>
      <c r="AB121" s="11"/>
      <c r="AC121" s="11"/>
      <c r="AD121" s="7"/>
      <c r="AE121" s="7"/>
      <c r="AF121" s="7"/>
      <c r="AG121" s="7"/>
      <c r="AH121" s="7"/>
      <c r="AI121" s="15"/>
      <c r="AL121" s="47"/>
      <c r="AM121" s="23"/>
      <c r="AN121" s="24"/>
    </row>
    <row r="124" spans="2:40" x14ac:dyDescent="0.2">
      <c r="AG124">
        <v>6</v>
      </c>
    </row>
    <row r="125" spans="2:40" x14ac:dyDescent="0.2">
      <c r="AG125">
        <v>31</v>
      </c>
    </row>
    <row r="126" spans="2:40" x14ac:dyDescent="0.2">
      <c r="AG126">
        <v>30</v>
      </c>
    </row>
    <row r="127" spans="2:40" x14ac:dyDescent="0.2">
      <c r="AG127">
        <v>7</v>
      </c>
    </row>
    <row r="128" spans="2:40" x14ac:dyDescent="0.2">
      <c r="AG128">
        <f>SUM(AG124:AG127)</f>
        <v>74</v>
      </c>
    </row>
    <row r="132" spans="5:5" x14ac:dyDescent="0.2">
      <c r="E132" t="s">
        <v>20</v>
      </c>
    </row>
    <row r="133" spans="5:5" x14ac:dyDescent="0.2">
      <c r="E133" t="s">
        <v>21</v>
      </c>
    </row>
    <row r="134" spans="5:5" x14ac:dyDescent="0.2">
      <c r="E134" t="s">
        <v>22</v>
      </c>
    </row>
    <row r="135" spans="5:5" x14ac:dyDescent="0.2">
      <c r="E135" t="s">
        <v>23</v>
      </c>
    </row>
    <row r="136" spans="5:5" x14ac:dyDescent="0.2">
      <c r="E136" t="s">
        <v>24</v>
      </c>
    </row>
    <row r="137" spans="5:5" x14ac:dyDescent="0.2">
      <c r="E137" t="s">
        <v>25</v>
      </c>
    </row>
    <row r="138" spans="5:5" x14ac:dyDescent="0.2">
      <c r="E138" t="s">
        <v>26</v>
      </c>
    </row>
    <row r="139" spans="5:5" x14ac:dyDescent="0.2">
      <c r="E139" t="s">
        <v>27</v>
      </c>
    </row>
    <row r="140" spans="5:5" x14ac:dyDescent="0.2">
      <c r="E140" s="86" t="s">
        <v>28</v>
      </c>
    </row>
  </sheetData>
  <mergeCells count="83">
    <mergeCell ref="AH48:AI48"/>
    <mergeCell ref="AE47:AI47"/>
    <mergeCell ref="E77:AA77"/>
    <mergeCell ref="E71:AE71"/>
    <mergeCell ref="AF71:AH71"/>
    <mergeCell ref="Q53:R53"/>
    <mergeCell ref="U53:W53"/>
    <mergeCell ref="X53:Y53"/>
    <mergeCell ref="AB53:AI53"/>
    <mergeCell ref="Q48:S48"/>
    <mergeCell ref="T48:U48"/>
    <mergeCell ref="E51:AI51"/>
    <mergeCell ref="E69:AI69"/>
    <mergeCell ref="M55:S55"/>
    <mergeCell ref="E57:AI57"/>
    <mergeCell ref="E59:AH59"/>
    <mergeCell ref="Q13:S13"/>
    <mergeCell ref="B45:C115"/>
    <mergeCell ref="D81:D85"/>
    <mergeCell ref="D87:D91"/>
    <mergeCell ref="D93:D97"/>
    <mergeCell ref="D99:D103"/>
    <mergeCell ref="D105:D109"/>
    <mergeCell ref="D111:D115"/>
    <mergeCell ref="G53:P53"/>
    <mergeCell ref="E29:G29"/>
    <mergeCell ref="H29:AG29"/>
    <mergeCell ref="E15:AI15"/>
    <mergeCell ref="F17:N17"/>
    <mergeCell ref="O17:AF17"/>
    <mergeCell ref="Z18:AF18"/>
    <mergeCell ref="E113:Q113"/>
    <mergeCell ref="E1:AI1"/>
    <mergeCell ref="E4:AI4"/>
    <mergeCell ref="E8:AI8"/>
    <mergeCell ref="E11:AB11"/>
    <mergeCell ref="AC11:AI11"/>
    <mergeCell ref="E21:AI21"/>
    <mergeCell ref="E23:AI23"/>
    <mergeCell ref="E24:L24"/>
    <mergeCell ref="M24:X24"/>
    <mergeCell ref="AA24:AC24"/>
    <mergeCell ref="AD24:AF24"/>
    <mergeCell ref="E45:AI45"/>
    <mergeCell ref="E47:G47"/>
    <mergeCell ref="J47:N47"/>
    <mergeCell ref="E27:AI27"/>
    <mergeCell ref="E33:AI33"/>
    <mergeCell ref="F35:AI35"/>
    <mergeCell ref="E39:AI39"/>
    <mergeCell ref="E41:AH41"/>
    <mergeCell ref="R47:U47"/>
    <mergeCell ref="V47:AC47"/>
    <mergeCell ref="R60:T60"/>
    <mergeCell ref="U60:V60"/>
    <mergeCell ref="E63:AI63"/>
    <mergeCell ref="BM64:CQ64"/>
    <mergeCell ref="E65:AI65"/>
    <mergeCell ref="I66:J66"/>
    <mergeCell ref="W66:Y66"/>
    <mergeCell ref="Z66:AA66"/>
    <mergeCell ref="P72:Q72"/>
    <mergeCell ref="T72:V72"/>
    <mergeCell ref="W72:X72"/>
    <mergeCell ref="AA72:AE72"/>
    <mergeCell ref="E75:AI75"/>
    <mergeCell ref="AF77:AH77"/>
    <mergeCell ref="K78:M78"/>
    <mergeCell ref="N78:O78"/>
    <mergeCell ref="Y78:AI78"/>
    <mergeCell ref="E81:AI81"/>
    <mergeCell ref="E117:AI117"/>
    <mergeCell ref="E99:AI99"/>
    <mergeCell ref="E101:AH101"/>
    <mergeCell ref="E105:AI105"/>
    <mergeCell ref="E107:AI107"/>
    <mergeCell ref="E111:AI111"/>
    <mergeCell ref="R113:AH113"/>
    <mergeCell ref="F83:AI83"/>
    <mergeCell ref="E87:AI87"/>
    <mergeCell ref="E89:AF89"/>
    <mergeCell ref="E93:AI93"/>
    <mergeCell ref="E95:AI95"/>
  </mergeCells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BC63-3395-2741-B933-528C185A36E9}">
  <sheetPr>
    <pageSetUpPr fitToPage="1"/>
  </sheetPr>
  <dimension ref="A1:CQ140"/>
  <sheetViews>
    <sheetView topLeftCell="A33" zoomScale="80" zoomScaleNormal="80" workbookViewId="0">
      <selection activeCell="AN68" sqref="AN68"/>
    </sheetView>
  </sheetViews>
  <sheetFormatPr defaultRowHeight="15" x14ac:dyDescent="0.2"/>
  <cols>
    <col min="4" max="4" width="12.77734375" bestFit="1" customWidth="1"/>
    <col min="21" max="21" width="10.625" customWidth="1"/>
    <col min="36" max="36" width="15.19921875" style="118" customWidth="1"/>
    <col min="37" max="37" width="15.46875" style="118" customWidth="1"/>
    <col min="38" max="38" width="13.5859375" style="50" bestFit="1" customWidth="1"/>
    <col min="39" max="39" width="8.609375" style="118"/>
    <col min="40" max="40" width="8.609375" style="25"/>
  </cols>
  <sheetData>
    <row r="1" spans="5:40" x14ac:dyDescent="0.2">
      <c r="E1" s="194">
        <v>45992</v>
      </c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6"/>
      <c r="AL1" s="47">
        <v>68</v>
      </c>
      <c r="AM1" s="23"/>
      <c r="AN1" s="24"/>
    </row>
    <row r="2" spans="5:40" x14ac:dyDescent="0.2">
      <c r="E2" s="111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L2" s="47"/>
      <c r="AM2" s="23"/>
      <c r="AN2" s="24"/>
    </row>
    <row r="3" spans="5:40" x14ac:dyDescent="0.2">
      <c r="E3" s="30">
        <v>1</v>
      </c>
      <c r="F3" s="31">
        <v>2</v>
      </c>
      <c r="G3" s="31">
        <v>3</v>
      </c>
      <c r="H3" s="31">
        <v>4</v>
      </c>
      <c r="I3" s="31">
        <v>5</v>
      </c>
      <c r="J3" s="10">
        <v>6</v>
      </c>
      <c r="K3" s="10">
        <v>7</v>
      </c>
      <c r="L3" s="31">
        <v>8</v>
      </c>
      <c r="M3" s="31">
        <v>9</v>
      </c>
      <c r="N3" s="31">
        <v>10</v>
      </c>
      <c r="O3" s="31">
        <v>11</v>
      </c>
      <c r="P3" s="31">
        <v>12</v>
      </c>
      <c r="Q3" s="10">
        <v>13</v>
      </c>
      <c r="R3" s="10">
        <v>14</v>
      </c>
      <c r="S3" s="31">
        <v>15</v>
      </c>
      <c r="T3" s="31">
        <v>16</v>
      </c>
      <c r="U3" s="31">
        <v>17</v>
      </c>
      <c r="V3" s="31">
        <v>18</v>
      </c>
      <c r="W3" s="31">
        <v>19</v>
      </c>
      <c r="X3" s="10">
        <v>20</v>
      </c>
      <c r="Y3" s="10">
        <v>21</v>
      </c>
      <c r="Z3" s="31">
        <v>22</v>
      </c>
      <c r="AA3" s="31">
        <v>23</v>
      </c>
      <c r="AB3" s="31">
        <v>24</v>
      </c>
      <c r="AC3" s="31">
        <v>25</v>
      </c>
      <c r="AD3" s="31">
        <v>26</v>
      </c>
      <c r="AE3" s="10">
        <v>27</v>
      </c>
      <c r="AF3" s="10">
        <v>28</v>
      </c>
      <c r="AG3" s="31">
        <v>29</v>
      </c>
      <c r="AH3" s="31">
        <v>30</v>
      </c>
      <c r="AI3" s="34">
        <v>31</v>
      </c>
      <c r="AL3" s="47"/>
      <c r="AM3" s="23"/>
      <c r="AN3" s="24"/>
    </row>
    <row r="4" spans="5:40" x14ac:dyDescent="0.2">
      <c r="E4" s="223" t="s">
        <v>5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5"/>
      <c r="AL4" s="47"/>
      <c r="AM4" s="23"/>
      <c r="AN4" s="24"/>
    </row>
    <row r="5" spans="5:40" ht="15.75" thickBot="1" x14ac:dyDescent="0.25">
      <c r="E5" s="30"/>
      <c r="F5" s="31"/>
      <c r="G5" s="31"/>
      <c r="H5" s="31"/>
      <c r="I5" s="31"/>
      <c r="J5" s="10"/>
      <c r="K5" s="10"/>
      <c r="L5" s="31"/>
      <c r="M5" s="31"/>
      <c r="N5" s="31"/>
      <c r="O5" s="31"/>
      <c r="P5" s="31"/>
      <c r="Q5" s="10"/>
      <c r="R5" s="10"/>
      <c r="S5" s="31"/>
      <c r="T5" s="31"/>
      <c r="U5" s="31"/>
      <c r="V5" s="31"/>
      <c r="W5" s="31"/>
      <c r="X5" s="10"/>
      <c r="Y5" s="10"/>
      <c r="Z5" s="31"/>
      <c r="AA5" s="31"/>
      <c r="AB5" s="31"/>
      <c r="AC5" s="31"/>
      <c r="AD5" s="31"/>
      <c r="AE5" s="10"/>
      <c r="AF5" s="10"/>
      <c r="AG5" s="31"/>
      <c r="AH5" s="31"/>
      <c r="AI5" s="34"/>
      <c r="AL5" s="47"/>
      <c r="AM5" s="23"/>
      <c r="AN5" s="24"/>
    </row>
    <row r="6" spans="5:40" ht="15.75" thickBot="1" x14ac:dyDescent="0.25">
      <c r="E6" s="32"/>
      <c r="F6" s="33"/>
      <c r="G6" s="33"/>
      <c r="H6" s="33"/>
      <c r="I6" s="33"/>
      <c r="J6" s="11"/>
      <c r="K6" s="11"/>
      <c r="L6" s="33"/>
      <c r="M6" s="33"/>
      <c r="N6" s="33"/>
      <c r="O6" s="33"/>
      <c r="P6" s="33"/>
      <c r="Q6" s="11"/>
      <c r="R6" s="11"/>
      <c r="S6" s="33"/>
      <c r="T6" s="33"/>
      <c r="U6" s="33"/>
      <c r="V6" s="33"/>
      <c r="W6" s="33"/>
      <c r="X6" s="11"/>
      <c r="Y6" s="11"/>
      <c r="Z6" s="33"/>
      <c r="AA6" s="33"/>
      <c r="AB6" s="33"/>
      <c r="AC6" s="33"/>
      <c r="AD6" s="33"/>
      <c r="AE6" s="11"/>
      <c r="AF6" s="11"/>
      <c r="AG6" s="33"/>
      <c r="AH6" s="33"/>
      <c r="AI6" s="35"/>
      <c r="AL6" s="47"/>
      <c r="AM6" s="23"/>
      <c r="AN6" s="29">
        <v>0</v>
      </c>
    </row>
    <row r="7" spans="5:40" ht="15.75" thickBot="1" x14ac:dyDescent="0.25">
      <c r="AL7" s="47"/>
      <c r="AM7" s="23"/>
      <c r="AN7" s="24"/>
    </row>
    <row r="8" spans="5:40" x14ac:dyDescent="0.2">
      <c r="E8" s="194">
        <v>46023</v>
      </c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6"/>
      <c r="AL8" s="47">
        <f>SUM(AL1+2.5-AN6)</f>
        <v>70.5</v>
      </c>
      <c r="AM8" s="23"/>
      <c r="AN8" s="24"/>
    </row>
    <row r="9" spans="5:40" x14ac:dyDescent="0.2">
      <c r="E9" s="111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3"/>
      <c r="AL9" s="47"/>
      <c r="AM9" s="23"/>
      <c r="AN9" s="24"/>
    </row>
    <row r="10" spans="5:40" x14ac:dyDescent="0.2">
      <c r="E10" s="30">
        <v>1</v>
      </c>
      <c r="F10" s="31">
        <v>2</v>
      </c>
      <c r="G10" s="38">
        <v>3</v>
      </c>
      <c r="H10" s="38">
        <v>4</v>
      </c>
      <c r="I10" s="31">
        <v>5</v>
      </c>
      <c r="J10" s="31">
        <v>6</v>
      </c>
      <c r="K10" s="31">
        <v>7</v>
      </c>
      <c r="L10" s="31">
        <v>8</v>
      </c>
      <c r="M10" s="31">
        <v>9</v>
      </c>
      <c r="N10" s="38">
        <v>10</v>
      </c>
      <c r="O10" s="38">
        <v>11</v>
      </c>
      <c r="P10" s="31">
        <v>12</v>
      </c>
      <c r="Q10" s="31">
        <v>13</v>
      </c>
      <c r="R10" s="31">
        <v>14</v>
      </c>
      <c r="S10" s="31">
        <v>15</v>
      </c>
      <c r="T10" s="31">
        <v>16</v>
      </c>
      <c r="U10" s="38">
        <v>17</v>
      </c>
      <c r="V10" s="38">
        <v>18</v>
      </c>
      <c r="W10" s="31">
        <v>19</v>
      </c>
      <c r="X10" s="31">
        <v>20</v>
      </c>
      <c r="Y10" s="31">
        <v>21</v>
      </c>
      <c r="Z10" s="31">
        <v>22</v>
      </c>
      <c r="AA10" s="31">
        <v>23</v>
      </c>
      <c r="AB10" s="38">
        <v>24</v>
      </c>
      <c r="AC10" s="38">
        <v>25</v>
      </c>
      <c r="AD10" s="31">
        <v>26</v>
      </c>
      <c r="AE10" s="31">
        <v>27</v>
      </c>
      <c r="AF10" s="31">
        <v>28</v>
      </c>
      <c r="AG10" s="31">
        <v>29</v>
      </c>
      <c r="AH10" s="31">
        <v>30</v>
      </c>
      <c r="AI10" s="40">
        <v>31</v>
      </c>
      <c r="AL10" s="47"/>
      <c r="AM10" s="23"/>
      <c r="AN10" s="24"/>
    </row>
    <row r="11" spans="5:40" x14ac:dyDescent="0.2">
      <c r="E11" s="223" t="s">
        <v>5</v>
      </c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6"/>
      <c r="AC11" s="227" t="s">
        <v>37</v>
      </c>
      <c r="AD11" s="228"/>
      <c r="AE11" s="228"/>
      <c r="AF11" s="228"/>
      <c r="AG11" s="228"/>
      <c r="AH11" s="228"/>
      <c r="AI11" s="229"/>
      <c r="AL11" s="47"/>
      <c r="AM11" s="23"/>
      <c r="AN11" s="24"/>
    </row>
    <row r="12" spans="5:40" ht="15.75" thickBot="1" x14ac:dyDescent="0.25">
      <c r="E12" s="30"/>
      <c r="F12" s="31"/>
      <c r="G12" s="38"/>
      <c r="H12" s="38"/>
      <c r="I12" s="31"/>
      <c r="J12" s="31"/>
      <c r="K12" s="31"/>
      <c r="L12" s="31"/>
      <c r="M12" s="31"/>
      <c r="N12" s="38"/>
      <c r="O12" s="38"/>
      <c r="P12" s="31"/>
      <c r="Q12" s="31"/>
      <c r="R12" s="31"/>
      <c r="S12" s="31"/>
      <c r="T12" s="31"/>
      <c r="U12" s="38"/>
      <c r="V12" s="38"/>
      <c r="W12" s="31"/>
      <c r="X12" s="31"/>
      <c r="Y12" s="31"/>
      <c r="Z12" s="31"/>
      <c r="AA12" s="33"/>
      <c r="AB12" s="39"/>
      <c r="AC12" s="39"/>
      <c r="AD12" s="33"/>
      <c r="AE12" s="33"/>
      <c r="AF12" s="33"/>
      <c r="AG12" s="33"/>
      <c r="AH12" s="33"/>
      <c r="AI12" s="41"/>
      <c r="AL12" s="47"/>
      <c r="AM12" s="23"/>
      <c r="AN12" s="24"/>
    </row>
    <row r="13" spans="5:40" ht="15.75" thickBot="1" x14ac:dyDescent="0.25">
      <c r="E13" s="32"/>
      <c r="F13" s="33"/>
      <c r="G13" s="39"/>
      <c r="H13" s="39"/>
      <c r="I13" s="33"/>
      <c r="J13" s="33"/>
      <c r="K13" s="33"/>
      <c r="L13" s="33"/>
      <c r="M13" s="33"/>
      <c r="N13" s="39"/>
      <c r="O13" s="39"/>
      <c r="P13" s="45"/>
      <c r="Q13" s="221" t="s">
        <v>8</v>
      </c>
      <c r="R13" s="222"/>
      <c r="S13" s="222"/>
      <c r="T13" s="46"/>
      <c r="U13" s="39"/>
      <c r="V13" s="39"/>
      <c r="W13" s="33"/>
      <c r="X13" s="33"/>
      <c r="Y13" s="33"/>
      <c r="Z13" s="33"/>
      <c r="AA13" s="33"/>
      <c r="AB13" s="39"/>
      <c r="AC13" s="39"/>
      <c r="AD13" s="33"/>
      <c r="AE13" s="33"/>
      <c r="AF13" s="33"/>
      <c r="AG13" s="33"/>
      <c r="AH13" s="33"/>
      <c r="AI13" s="41"/>
      <c r="AL13" s="47"/>
      <c r="AM13" s="23"/>
      <c r="AN13" s="29">
        <v>7</v>
      </c>
    </row>
    <row r="14" spans="5:40" ht="15.75" thickBot="1" x14ac:dyDescent="0.25">
      <c r="AL14" s="47"/>
      <c r="AM14" s="23"/>
      <c r="AN14" s="24"/>
    </row>
    <row r="15" spans="5:40" x14ac:dyDescent="0.2">
      <c r="E15" s="194">
        <v>46054</v>
      </c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6"/>
      <c r="AL15" s="47">
        <f>SUM(AL8+2.5-AN13)</f>
        <v>66</v>
      </c>
      <c r="AM15" s="23"/>
      <c r="AN15" s="24"/>
    </row>
    <row r="16" spans="5:40" x14ac:dyDescent="0.2">
      <c r="E16" s="42">
        <v>1</v>
      </c>
      <c r="F16" s="1">
        <v>2</v>
      </c>
      <c r="G16" s="1">
        <v>3</v>
      </c>
      <c r="H16" s="1">
        <v>4</v>
      </c>
      <c r="I16" s="31">
        <v>5</v>
      </c>
      <c r="J16" s="31">
        <v>6</v>
      </c>
      <c r="K16" s="38">
        <v>7</v>
      </c>
      <c r="L16" s="38">
        <v>8</v>
      </c>
      <c r="M16" s="31">
        <v>9</v>
      </c>
      <c r="N16" s="31">
        <v>10</v>
      </c>
      <c r="O16" s="31">
        <v>11</v>
      </c>
      <c r="P16" s="31">
        <v>12</v>
      </c>
      <c r="Q16" s="31">
        <v>13</v>
      </c>
      <c r="R16" s="38">
        <v>14</v>
      </c>
      <c r="S16" s="38">
        <v>15</v>
      </c>
      <c r="T16" s="31">
        <v>16</v>
      </c>
      <c r="U16" s="31">
        <v>17</v>
      </c>
      <c r="V16" s="31">
        <v>18</v>
      </c>
      <c r="W16" s="31">
        <v>19</v>
      </c>
      <c r="X16" s="31">
        <v>20</v>
      </c>
      <c r="Y16" s="38">
        <v>21</v>
      </c>
      <c r="Z16" s="38">
        <v>22</v>
      </c>
      <c r="AA16" s="31">
        <v>23</v>
      </c>
      <c r="AB16" s="31">
        <v>24</v>
      </c>
      <c r="AC16" s="31">
        <v>25</v>
      </c>
      <c r="AD16" s="31">
        <v>26</v>
      </c>
      <c r="AE16" s="31">
        <v>27</v>
      </c>
      <c r="AF16" s="38">
        <v>28</v>
      </c>
      <c r="AG16" s="38">
        <v>29</v>
      </c>
      <c r="AH16" s="1"/>
      <c r="AI16" s="5"/>
      <c r="AL16" s="47"/>
      <c r="AM16" s="23"/>
      <c r="AN16" s="24"/>
    </row>
    <row r="17" spans="5:42" x14ac:dyDescent="0.2">
      <c r="E17" s="18"/>
      <c r="F17" s="233" t="s">
        <v>5</v>
      </c>
      <c r="G17" s="224"/>
      <c r="H17" s="224"/>
      <c r="I17" s="224"/>
      <c r="J17" s="224"/>
      <c r="K17" s="224"/>
      <c r="L17" s="224"/>
      <c r="M17" s="224"/>
      <c r="N17" s="226"/>
      <c r="O17" s="234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6"/>
      <c r="AG17" s="38"/>
      <c r="AH17" s="1"/>
      <c r="AI17" s="5"/>
      <c r="AL17" s="47"/>
      <c r="AM17" s="23"/>
      <c r="AN17" s="24"/>
    </row>
    <row r="18" spans="5:42" ht="15.75" thickBot="1" x14ac:dyDescent="0.25">
      <c r="E18" s="18" t="s">
        <v>4</v>
      </c>
      <c r="F18" s="1"/>
      <c r="G18" s="1"/>
      <c r="H18" s="1"/>
      <c r="I18" s="31"/>
      <c r="J18" s="31"/>
      <c r="K18" s="38"/>
      <c r="L18" s="38"/>
      <c r="M18" s="31"/>
      <c r="N18" s="31"/>
      <c r="O18" s="31"/>
      <c r="P18" s="31"/>
      <c r="Q18" s="31"/>
      <c r="R18" s="38"/>
      <c r="S18" s="38"/>
      <c r="T18" s="31"/>
      <c r="U18" s="31"/>
      <c r="V18" s="31"/>
      <c r="W18" s="31"/>
      <c r="X18" s="31"/>
      <c r="Y18" s="38"/>
      <c r="Z18" s="237" t="s">
        <v>7</v>
      </c>
      <c r="AA18" s="238"/>
      <c r="AB18" s="238"/>
      <c r="AC18" s="238"/>
      <c r="AD18" s="238"/>
      <c r="AE18" s="238"/>
      <c r="AF18" s="238"/>
      <c r="AG18" s="110"/>
      <c r="AH18" s="1"/>
      <c r="AI18" s="5"/>
      <c r="AL18" s="47"/>
      <c r="AM18" s="23"/>
      <c r="AN18" s="24"/>
    </row>
    <row r="19" spans="5:42" ht="15.75" thickBot="1" x14ac:dyDescent="0.25">
      <c r="E19" s="19"/>
      <c r="F19" s="7"/>
      <c r="G19" s="7"/>
      <c r="H19" s="7"/>
      <c r="I19" s="33"/>
      <c r="J19" s="33"/>
      <c r="K19" s="39"/>
      <c r="L19" s="39"/>
      <c r="M19" s="22" t="s">
        <v>9</v>
      </c>
      <c r="N19" s="33"/>
      <c r="O19" s="33"/>
      <c r="P19" s="33"/>
      <c r="Q19" s="33"/>
      <c r="R19" s="39"/>
      <c r="S19" s="39"/>
      <c r="T19" s="33"/>
      <c r="U19" s="33"/>
      <c r="V19" s="33"/>
      <c r="W19" s="33"/>
      <c r="X19" s="33"/>
      <c r="Y19" s="39"/>
      <c r="Z19" s="39"/>
      <c r="AA19" s="33"/>
      <c r="AB19" s="33"/>
      <c r="AC19" s="33"/>
      <c r="AD19" s="33"/>
      <c r="AE19" s="33"/>
      <c r="AF19" s="39"/>
      <c r="AG19" s="39"/>
      <c r="AH19" s="7"/>
      <c r="AI19" s="8"/>
      <c r="AL19" s="47"/>
      <c r="AM19" s="23"/>
      <c r="AN19" s="29">
        <v>1</v>
      </c>
    </row>
    <row r="20" spans="5:42" ht="15.75" thickBot="1" x14ac:dyDescent="0.25">
      <c r="AL20" s="47"/>
      <c r="AM20" s="23"/>
      <c r="AN20" s="28"/>
    </row>
    <row r="21" spans="5:42" x14ac:dyDescent="0.2">
      <c r="E21" s="194">
        <v>46082</v>
      </c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6"/>
      <c r="AK21" s="128" t="s">
        <v>0</v>
      </c>
      <c r="AL21" s="47">
        <f>SUM(AL15+2.5-AN19)</f>
        <v>67.5</v>
      </c>
      <c r="AM21" s="23"/>
      <c r="AN21" s="24"/>
    </row>
    <row r="22" spans="5:42" x14ac:dyDescent="0.2">
      <c r="E22" s="42">
        <v>1</v>
      </c>
      <c r="F22" s="1">
        <v>2</v>
      </c>
      <c r="G22" s="31">
        <v>3</v>
      </c>
      <c r="H22" s="31">
        <v>4</v>
      </c>
      <c r="I22" s="31">
        <v>5</v>
      </c>
      <c r="J22" s="31">
        <v>6</v>
      </c>
      <c r="K22" s="38">
        <v>7</v>
      </c>
      <c r="L22" s="38">
        <v>8</v>
      </c>
      <c r="M22" s="31">
        <v>9</v>
      </c>
      <c r="N22" s="31">
        <v>10</v>
      </c>
      <c r="O22" s="31">
        <v>11</v>
      </c>
      <c r="P22" s="31">
        <v>12</v>
      </c>
      <c r="Q22" s="31">
        <v>13</v>
      </c>
      <c r="R22" s="38">
        <v>14</v>
      </c>
      <c r="S22" s="38">
        <v>15</v>
      </c>
      <c r="T22" s="31">
        <v>16</v>
      </c>
      <c r="U22" s="31">
        <v>17</v>
      </c>
      <c r="V22" s="31">
        <v>18</v>
      </c>
      <c r="W22" s="31">
        <v>19</v>
      </c>
      <c r="X22" s="31">
        <v>20</v>
      </c>
      <c r="Y22" s="38">
        <v>21</v>
      </c>
      <c r="Z22" s="38">
        <v>22</v>
      </c>
      <c r="AA22" s="31">
        <v>23</v>
      </c>
      <c r="AB22" s="31">
        <v>24</v>
      </c>
      <c r="AC22" s="31">
        <v>25</v>
      </c>
      <c r="AD22" s="31">
        <v>26</v>
      </c>
      <c r="AE22" s="31">
        <v>27</v>
      </c>
      <c r="AF22" s="38">
        <v>28</v>
      </c>
      <c r="AG22" s="38">
        <v>29</v>
      </c>
      <c r="AH22" s="31">
        <v>30</v>
      </c>
      <c r="AI22" s="34">
        <v>31</v>
      </c>
      <c r="AK22" s="128"/>
      <c r="AL22" s="47"/>
      <c r="AM22" s="23"/>
      <c r="AN22" s="24"/>
    </row>
    <row r="23" spans="5:42" x14ac:dyDescent="0.2">
      <c r="E23" s="223" t="s">
        <v>5</v>
      </c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5"/>
      <c r="AK23" s="128"/>
      <c r="AL23" s="47"/>
      <c r="AM23" s="23"/>
      <c r="AN23" s="24"/>
    </row>
    <row r="24" spans="5:42" ht="15.75" thickBot="1" x14ac:dyDescent="0.25">
      <c r="E24" s="237" t="s">
        <v>6</v>
      </c>
      <c r="F24" s="239"/>
      <c r="G24" s="239"/>
      <c r="H24" s="239"/>
      <c r="I24" s="239"/>
      <c r="J24" s="239"/>
      <c r="K24" s="239"/>
      <c r="L24" s="240"/>
      <c r="M24" s="241" t="s">
        <v>10</v>
      </c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3"/>
      <c r="Y24" s="38"/>
      <c r="Z24" s="38"/>
      <c r="AA24" s="237" t="s">
        <v>13</v>
      </c>
      <c r="AB24" s="239"/>
      <c r="AC24" s="239"/>
      <c r="AD24" s="237" t="s">
        <v>14</v>
      </c>
      <c r="AE24" s="239"/>
      <c r="AF24" s="239"/>
      <c r="AG24" s="39"/>
      <c r="AH24" s="31"/>
      <c r="AI24" s="34"/>
      <c r="AK24" s="128"/>
      <c r="AL24" s="47"/>
      <c r="AM24" s="23"/>
      <c r="AN24" s="24"/>
    </row>
    <row r="25" spans="5:42" ht="15.75" thickBot="1" x14ac:dyDescent="0.25">
      <c r="E25" s="43"/>
      <c r="F25" s="7"/>
      <c r="G25" s="33"/>
      <c r="H25" s="33"/>
      <c r="I25" s="33"/>
      <c r="J25" s="33"/>
      <c r="K25" s="39"/>
      <c r="L25" s="39"/>
      <c r="M25" s="33"/>
      <c r="N25" s="33"/>
      <c r="O25" s="33"/>
      <c r="P25" s="33"/>
      <c r="Q25" s="33"/>
      <c r="R25" s="39"/>
      <c r="S25" s="39"/>
      <c r="T25" s="33"/>
      <c r="U25" s="33"/>
      <c r="V25" s="33"/>
      <c r="W25" s="33"/>
      <c r="X25" s="33"/>
      <c r="Y25" s="39"/>
      <c r="Z25" s="39"/>
      <c r="AA25" s="33"/>
      <c r="AB25" s="33"/>
      <c r="AC25" s="33"/>
      <c r="AD25" s="33"/>
      <c r="AE25" s="33"/>
      <c r="AF25" s="39"/>
      <c r="AG25" s="39"/>
      <c r="AH25" s="33"/>
      <c r="AI25" s="35"/>
      <c r="AK25" s="128"/>
      <c r="AL25" s="47"/>
      <c r="AM25" s="23"/>
      <c r="AN25" s="29">
        <v>0</v>
      </c>
    </row>
    <row r="26" spans="5:42" ht="30" thickBot="1" x14ac:dyDescent="0.45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K26" s="128"/>
      <c r="AL26" s="47"/>
      <c r="AM26" s="23"/>
      <c r="AN26" s="28"/>
      <c r="AP26" s="126" t="s">
        <v>42</v>
      </c>
    </row>
    <row r="27" spans="5:42" ht="30" thickBot="1" x14ac:dyDescent="0.45">
      <c r="E27" s="190">
        <v>46113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2"/>
      <c r="AH27" s="192"/>
      <c r="AI27" s="193"/>
      <c r="AK27" s="128" t="s">
        <v>50</v>
      </c>
      <c r="AL27" s="47">
        <v>69</v>
      </c>
      <c r="AM27" s="23"/>
      <c r="AN27" s="24"/>
      <c r="AP27" s="126">
        <v>23</v>
      </c>
    </row>
    <row r="28" spans="5:42" ht="29.25" x14ac:dyDescent="0.4">
      <c r="E28" s="36">
        <v>1</v>
      </c>
      <c r="F28" s="37">
        <v>2</v>
      </c>
      <c r="G28" s="37">
        <v>3</v>
      </c>
      <c r="H28" s="44">
        <v>4</v>
      </c>
      <c r="I28" s="44">
        <v>5</v>
      </c>
      <c r="J28" s="37">
        <v>6</v>
      </c>
      <c r="K28" s="37">
        <v>7</v>
      </c>
      <c r="L28" s="37">
        <v>8</v>
      </c>
      <c r="M28" s="37">
        <v>9</v>
      </c>
      <c r="N28" s="37">
        <v>10</v>
      </c>
      <c r="O28" s="44">
        <v>11</v>
      </c>
      <c r="P28" s="44">
        <v>12</v>
      </c>
      <c r="Q28" s="37">
        <v>13</v>
      </c>
      <c r="R28" s="37">
        <v>14</v>
      </c>
      <c r="S28" s="37">
        <v>15</v>
      </c>
      <c r="T28" s="37">
        <v>16</v>
      </c>
      <c r="U28" s="37">
        <v>17</v>
      </c>
      <c r="V28" s="44">
        <v>18</v>
      </c>
      <c r="W28" s="44">
        <v>19</v>
      </c>
      <c r="X28" s="37">
        <v>20</v>
      </c>
      <c r="Y28" s="37">
        <v>21</v>
      </c>
      <c r="Z28" s="37">
        <v>22</v>
      </c>
      <c r="AA28" s="37">
        <v>23</v>
      </c>
      <c r="AB28" s="37">
        <v>24</v>
      </c>
      <c r="AC28" s="44">
        <v>25</v>
      </c>
      <c r="AD28" s="44">
        <v>26</v>
      </c>
      <c r="AE28" s="37">
        <v>27</v>
      </c>
      <c r="AF28" s="37">
        <v>28</v>
      </c>
      <c r="AG28" s="37">
        <v>29</v>
      </c>
      <c r="AH28" s="2">
        <v>30</v>
      </c>
      <c r="AI28" s="3"/>
      <c r="AK28" s="128"/>
      <c r="AL28" s="47"/>
      <c r="AM28" s="23"/>
      <c r="AN28" s="24"/>
      <c r="AP28" s="126"/>
    </row>
    <row r="29" spans="5:42" ht="29.25" x14ac:dyDescent="0.4">
      <c r="E29" s="230" t="s">
        <v>19</v>
      </c>
      <c r="F29" s="231"/>
      <c r="G29" s="232"/>
      <c r="H29" s="223" t="s">
        <v>5</v>
      </c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157" t="s">
        <v>87</v>
      </c>
      <c r="AI29" s="71"/>
      <c r="AK29" s="128"/>
      <c r="AL29" s="47"/>
      <c r="AM29" s="23"/>
      <c r="AN29" s="24"/>
      <c r="AP29" s="126"/>
    </row>
    <row r="30" spans="5:42" ht="30" thickBot="1" x14ac:dyDescent="0.45">
      <c r="E30" s="30"/>
      <c r="F30" s="31"/>
      <c r="G30" s="31"/>
      <c r="H30" s="38"/>
      <c r="I30" s="38"/>
      <c r="J30" s="31"/>
      <c r="K30" s="31"/>
      <c r="L30" s="31"/>
      <c r="M30" s="31"/>
      <c r="N30" s="31"/>
      <c r="O30" s="38"/>
      <c r="P30" s="38"/>
      <c r="Q30" s="31"/>
      <c r="R30" s="31"/>
      <c r="S30" s="31"/>
      <c r="T30" s="31"/>
      <c r="U30" s="31"/>
      <c r="V30" s="38"/>
      <c r="W30" s="38"/>
      <c r="X30" s="33"/>
      <c r="Y30" s="33"/>
      <c r="Z30" s="33"/>
      <c r="AA30" s="33"/>
      <c r="AB30" s="33"/>
      <c r="AC30" s="39"/>
      <c r="AD30" s="39"/>
      <c r="AE30" s="33"/>
      <c r="AF30" s="33"/>
      <c r="AG30" s="33"/>
      <c r="AH30" s="7"/>
      <c r="AI30" s="8"/>
      <c r="AK30" s="128"/>
      <c r="AL30" s="47"/>
      <c r="AM30" s="23"/>
      <c r="AN30" s="24"/>
      <c r="AP30" s="126"/>
    </row>
    <row r="31" spans="5:42" ht="30" thickBot="1" x14ac:dyDescent="0.45">
      <c r="E31" s="32"/>
      <c r="F31" s="33"/>
      <c r="G31" s="33"/>
      <c r="H31" s="39"/>
      <c r="I31" s="39"/>
      <c r="J31" s="33"/>
      <c r="K31" s="33"/>
      <c r="L31" s="33"/>
      <c r="M31" s="33"/>
      <c r="N31" s="33"/>
      <c r="O31" s="39"/>
      <c r="P31" s="39"/>
      <c r="Q31" s="33"/>
      <c r="R31" s="33"/>
      <c r="S31" s="33"/>
      <c r="T31" s="33"/>
      <c r="U31" s="33"/>
      <c r="V31" s="39"/>
      <c r="W31" s="39"/>
      <c r="X31" s="33"/>
      <c r="Y31" s="33"/>
      <c r="Z31" s="33"/>
      <c r="AA31" s="33"/>
      <c r="AB31" s="33"/>
      <c r="AC31" s="39"/>
      <c r="AD31" s="39"/>
      <c r="AE31" s="33"/>
      <c r="AF31" s="33"/>
      <c r="AG31" s="33"/>
      <c r="AH31" s="7"/>
      <c r="AI31" s="8"/>
      <c r="AK31" s="128"/>
      <c r="AL31" s="47"/>
      <c r="AM31" s="23"/>
      <c r="AN31" s="29">
        <v>4</v>
      </c>
      <c r="AP31" s="126">
        <f>SUM(AP27-AN31)</f>
        <v>19</v>
      </c>
    </row>
    <row r="32" spans="5:42" ht="30" thickBot="1" x14ac:dyDescent="0.45">
      <c r="AK32" s="128"/>
      <c r="AL32" s="47"/>
      <c r="AM32" s="23"/>
      <c r="AN32" s="24"/>
      <c r="AP32" s="126"/>
    </row>
    <row r="33" spans="2:42" ht="29.25" x14ac:dyDescent="0.4">
      <c r="E33" s="194">
        <v>46143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6"/>
      <c r="AK33" s="128" t="s">
        <v>51</v>
      </c>
      <c r="AL33" s="47">
        <f>SUM(AL27+2.5-AN31)</f>
        <v>67.5</v>
      </c>
      <c r="AM33" s="23"/>
      <c r="AN33" s="24"/>
      <c r="AP33" s="126"/>
    </row>
    <row r="34" spans="2:42" ht="29.25" x14ac:dyDescent="0.4">
      <c r="E34" s="4">
        <v>1</v>
      </c>
      <c r="F34" s="38">
        <v>2</v>
      </c>
      <c r="G34" s="38">
        <v>3</v>
      </c>
      <c r="H34" s="31">
        <v>4</v>
      </c>
      <c r="I34" s="31">
        <v>5</v>
      </c>
      <c r="J34" s="31">
        <v>6</v>
      </c>
      <c r="K34" s="31">
        <v>7</v>
      </c>
      <c r="L34" s="31">
        <v>8</v>
      </c>
      <c r="M34" s="38">
        <v>9</v>
      </c>
      <c r="N34" s="38">
        <v>10</v>
      </c>
      <c r="O34" s="31">
        <v>11</v>
      </c>
      <c r="P34" s="31">
        <v>12</v>
      </c>
      <c r="Q34" s="31">
        <v>13</v>
      </c>
      <c r="R34" s="31">
        <v>14</v>
      </c>
      <c r="S34" s="31">
        <v>15</v>
      </c>
      <c r="T34" s="38">
        <v>16</v>
      </c>
      <c r="U34" s="38">
        <v>17</v>
      </c>
      <c r="V34" s="31">
        <v>18</v>
      </c>
      <c r="W34" s="31">
        <v>19</v>
      </c>
      <c r="X34" s="31">
        <v>20</v>
      </c>
      <c r="Y34" s="31">
        <v>21</v>
      </c>
      <c r="Z34" s="31">
        <v>22</v>
      </c>
      <c r="AA34" s="38">
        <v>23</v>
      </c>
      <c r="AB34" s="38">
        <v>24</v>
      </c>
      <c r="AC34" s="31">
        <v>25</v>
      </c>
      <c r="AD34" s="31">
        <v>26</v>
      </c>
      <c r="AE34" s="31">
        <v>27</v>
      </c>
      <c r="AF34" s="31">
        <v>28</v>
      </c>
      <c r="AG34" s="31">
        <v>29</v>
      </c>
      <c r="AH34" s="38">
        <v>30</v>
      </c>
      <c r="AI34" s="40">
        <v>31</v>
      </c>
      <c r="AK34" s="128"/>
      <c r="AL34" s="47"/>
      <c r="AM34" s="23"/>
      <c r="AN34" s="24"/>
      <c r="AP34" s="126"/>
    </row>
    <row r="35" spans="2:42" ht="29.25" x14ac:dyDescent="0.4">
      <c r="E35" s="158" t="s">
        <v>87</v>
      </c>
      <c r="F35" s="223" t="s">
        <v>5</v>
      </c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5"/>
      <c r="AK35" s="128"/>
      <c r="AL35" s="47"/>
      <c r="AM35" s="23"/>
      <c r="AN35" s="24"/>
      <c r="AP35" s="126"/>
    </row>
    <row r="36" spans="2:42" ht="30" thickBot="1" x14ac:dyDescent="0.45">
      <c r="E36" s="4"/>
      <c r="F36" s="38"/>
      <c r="G36" s="38"/>
      <c r="H36" s="31"/>
      <c r="I36" s="31"/>
      <c r="J36" s="31"/>
      <c r="K36" s="31"/>
      <c r="L36" s="31"/>
      <c r="M36" s="38"/>
      <c r="N36" s="38"/>
      <c r="O36" s="31"/>
      <c r="P36" s="31"/>
      <c r="Q36" s="31"/>
      <c r="R36" s="31"/>
      <c r="S36" s="31"/>
      <c r="T36" s="38"/>
      <c r="U36" s="38"/>
      <c r="V36" s="31"/>
      <c r="W36" s="31"/>
      <c r="X36" s="31"/>
      <c r="Y36" s="31"/>
      <c r="Z36" s="31"/>
      <c r="AA36" s="38"/>
      <c r="AB36" s="38"/>
      <c r="AC36" s="31"/>
      <c r="AD36" s="31"/>
      <c r="AE36" s="31"/>
      <c r="AF36" s="31"/>
      <c r="AG36" s="31"/>
      <c r="AH36" s="38"/>
      <c r="AI36" s="40"/>
      <c r="AK36" s="128"/>
      <c r="AL36" s="47"/>
      <c r="AM36" s="23"/>
      <c r="AN36" s="24"/>
      <c r="AP36" s="126"/>
    </row>
    <row r="37" spans="2:42" ht="30" thickBot="1" x14ac:dyDescent="0.45">
      <c r="E37" s="6"/>
      <c r="F37" s="39"/>
      <c r="G37" s="39"/>
      <c r="H37" s="33"/>
      <c r="I37" s="33"/>
      <c r="J37" s="33"/>
      <c r="K37" s="33"/>
      <c r="L37" s="33"/>
      <c r="M37" s="39"/>
      <c r="N37" s="39"/>
      <c r="O37" s="33"/>
      <c r="P37" s="33"/>
      <c r="Q37" s="33"/>
      <c r="R37" s="33"/>
      <c r="S37" s="33"/>
      <c r="T37" s="39"/>
      <c r="U37" s="39"/>
      <c r="V37" s="33"/>
      <c r="W37" s="33"/>
      <c r="X37" s="33"/>
      <c r="Y37" s="33"/>
      <c r="Z37" s="33"/>
      <c r="AA37" s="39"/>
      <c r="AB37" s="39"/>
      <c r="AC37" s="33"/>
      <c r="AD37" s="33"/>
      <c r="AE37" s="33"/>
      <c r="AF37" s="33"/>
      <c r="AG37" s="33"/>
      <c r="AH37" s="39"/>
      <c r="AI37" s="41"/>
      <c r="AK37" s="128"/>
      <c r="AL37" s="47"/>
      <c r="AM37" s="23"/>
      <c r="AN37" s="29">
        <v>1</v>
      </c>
      <c r="AP37" s="126">
        <f>SUM(AP31-AN37)</f>
        <v>18</v>
      </c>
    </row>
    <row r="38" spans="2:42" ht="30" thickBot="1" x14ac:dyDescent="0.4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K38" s="128"/>
      <c r="AL38" s="47"/>
      <c r="AM38" s="23"/>
      <c r="AN38" s="24"/>
      <c r="AP38" s="126"/>
    </row>
    <row r="39" spans="2:42" ht="30" thickBot="1" x14ac:dyDescent="0.45">
      <c r="E39" s="190">
        <v>46174</v>
      </c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2"/>
      <c r="AH39" s="192"/>
      <c r="AI39" s="193"/>
      <c r="AK39" s="128" t="s">
        <v>52</v>
      </c>
      <c r="AL39" s="47">
        <f>SUM(AL33+2.5-AN37)</f>
        <v>69</v>
      </c>
      <c r="AM39" s="23"/>
      <c r="AN39" s="24"/>
      <c r="AP39" s="126"/>
    </row>
    <row r="40" spans="2:42" ht="29.25" x14ac:dyDescent="0.4">
      <c r="E40" s="36">
        <v>1</v>
      </c>
      <c r="F40" s="37">
        <v>2</v>
      </c>
      <c r="G40" s="37">
        <v>3</v>
      </c>
      <c r="H40" s="37">
        <v>4</v>
      </c>
      <c r="I40" s="37">
        <v>5</v>
      </c>
      <c r="J40" s="44">
        <v>6</v>
      </c>
      <c r="K40" s="44">
        <v>7</v>
      </c>
      <c r="L40" s="37">
        <v>8</v>
      </c>
      <c r="M40" s="37">
        <v>9</v>
      </c>
      <c r="N40" s="37">
        <v>10</v>
      </c>
      <c r="O40" s="37">
        <v>11</v>
      </c>
      <c r="P40" s="37">
        <v>12</v>
      </c>
      <c r="Q40" s="44">
        <v>13</v>
      </c>
      <c r="R40" s="44">
        <v>14</v>
      </c>
      <c r="S40" s="37">
        <v>15</v>
      </c>
      <c r="T40" s="37">
        <v>16</v>
      </c>
      <c r="U40" s="37">
        <v>17</v>
      </c>
      <c r="V40" s="37">
        <v>18</v>
      </c>
      <c r="W40" s="37">
        <v>19</v>
      </c>
      <c r="X40" s="44">
        <v>20</v>
      </c>
      <c r="Y40" s="44">
        <v>21</v>
      </c>
      <c r="Z40" s="37">
        <v>22</v>
      </c>
      <c r="AA40" s="37">
        <v>23</v>
      </c>
      <c r="AB40" s="37">
        <v>24</v>
      </c>
      <c r="AC40" s="37">
        <v>25</v>
      </c>
      <c r="AD40" s="37">
        <v>26</v>
      </c>
      <c r="AE40" s="44">
        <v>27</v>
      </c>
      <c r="AF40" s="44">
        <v>28</v>
      </c>
      <c r="AG40" s="37">
        <v>29</v>
      </c>
      <c r="AH40" s="2">
        <v>30</v>
      </c>
      <c r="AI40" s="3"/>
      <c r="AK40" s="128"/>
      <c r="AL40" s="47"/>
      <c r="AM40" s="23"/>
      <c r="AN40" s="24"/>
      <c r="AP40" s="126"/>
    </row>
    <row r="41" spans="2:42" ht="29.25" x14ac:dyDescent="0.4">
      <c r="E41" s="223" t="s">
        <v>5</v>
      </c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6"/>
      <c r="AI41" s="5"/>
      <c r="AK41" s="128"/>
      <c r="AL41" s="47"/>
      <c r="AM41" s="23"/>
      <c r="AN41" s="24"/>
      <c r="AP41" s="126"/>
    </row>
    <row r="42" spans="2:42" ht="30" thickBot="1" x14ac:dyDescent="0.45">
      <c r="E42" s="30"/>
      <c r="F42" s="31"/>
      <c r="G42" s="31"/>
      <c r="H42" s="31"/>
      <c r="I42" s="31"/>
      <c r="J42" s="38"/>
      <c r="K42" s="38"/>
      <c r="L42" s="31"/>
      <c r="M42" s="31"/>
      <c r="N42" s="87" t="str">
        <f>(E140)</f>
        <v>VA Individual Appointments</v>
      </c>
      <c r="O42" s="31"/>
      <c r="P42" s="31"/>
      <c r="Q42" s="38"/>
      <c r="R42" s="38"/>
      <c r="S42" s="31"/>
      <c r="T42" s="31"/>
      <c r="U42" s="31"/>
      <c r="V42" s="31"/>
      <c r="W42" s="31"/>
      <c r="X42" s="38"/>
      <c r="Y42" s="38"/>
      <c r="Z42" s="31"/>
      <c r="AA42" s="31"/>
      <c r="AB42" s="31"/>
      <c r="AC42" s="31"/>
      <c r="AD42" s="31"/>
      <c r="AE42" s="38"/>
      <c r="AF42" s="38"/>
      <c r="AG42" s="31"/>
      <c r="AH42" s="1"/>
      <c r="AI42" s="5"/>
      <c r="AK42" s="128"/>
      <c r="AL42" s="47"/>
      <c r="AM42" s="23"/>
      <c r="AN42" s="24"/>
      <c r="AP42" s="126"/>
    </row>
    <row r="43" spans="2:42" ht="30" thickBot="1" x14ac:dyDescent="0.45">
      <c r="E43" s="32"/>
      <c r="F43" s="33"/>
      <c r="G43" s="33"/>
      <c r="H43" s="33"/>
      <c r="I43" s="33"/>
      <c r="J43" s="39"/>
      <c r="K43" s="39"/>
      <c r="L43" s="33"/>
      <c r="M43" s="33"/>
      <c r="N43" s="33"/>
      <c r="O43" s="33"/>
      <c r="P43" s="33"/>
      <c r="Q43" s="39"/>
      <c r="R43" s="39"/>
      <c r="S43" s="33"/>
      <c r="T43" s="33"/>
      <c r="U43" s="33"/>
      <c r="V43" s="33"/>
      <c r="W43" s="143" t="s">
        <v>91</v>
      </c>
      <c r="X43" s="149" t="s">
        <v>44</v>
      </c>
      <c r="Y43" s="39"/>
      <c r="Z43" s="33"/>
      <c r="AA43" s="33"/>
      <c r="AB43" s="33"/>
      <c r="AC43" s="33"/>
      <c r="AD43" s="33"/>
      <c r="AE43" s="39"/>
      <c r="AF43" s="39"/>
      <c r="AG43" s="33"/>
      <c r="AH43" s="7"/>
      <c r="AI43" s="8"/>
      <c r="AK43" s="128"/>
      <c r="AL43" s="47"/>
      <c r="AM43" s="23"/>
      <c r="AN43" s="29">
        <v>0</v>
      </c>
      <c r="AP43" s="126">
        <f>SUM(AP37-AN43)</f>
        <v>18</v>
      </c>
    </row>
    <row r="44" spans="2:42" ht="30" thickBot="1" x14ac:dyDescent="0.45"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6"/>
      <c r="AK44" s="106"/>
      <c r="AL44" s="107"/>
      <c r="AM44" s="108"/>
      <c r="AN44" s="109"/>
      <c r="AP44" s="126"/>
    </row>
    <row r="45" spans="2:42" ht="29.25" x14ac:dyDescent="0.4">
      <c r="B45" s="244" t="s">
        <v>41</v>
      </c>
      <c r="C45" s="244"/>
      <c r="D45" s="181"/>
      <c r="E45" s="194">
        <v>46204</v>
      </c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6"/>
      <c r="AK45" s="128" t="s">
        <v>53</v>
      </c>
      <c r="AL45" s="47">
        <f>SUM(AL39+2.5-AN43)</f>
        <v>71.5</v>
      </c>
      <c r="AM45" s="23"/>
      <c r="AN45" s="24"/>
      <c r="AP45" s="126"/>
    </row>
    <row r="46" spans="2:42" ht="29.25" x14ac:dyDescent="0.4">
      <c r="B46" s="244"/>
      <c r="C46" s="244"/>
      <c r="D46" s="181"/>
      <c r="E46" s="4">
        <v>1</v>
      </c>
      <c r="F46" s="1">
        <v>2</v>
      </c>
      <c r="G46" s="1">
        <v>3</v>
      </c>
      <c r="H46" s="10">
        <v>4</v>
      </c>
      <c r="I46" s="10">
        <v>5</v>
      </c>
      <c r="J46" s="1">
        <v>6</v>
      </c>
      <c r="K46" s="1">
        <v>7</v>
      </c>
      <c r="L46" s="1">
        <v>8</v>
      </c>
      <c r="M46" s="1">
        <v>9</v>
      </c>
      <c r="N46" s="1">
        <v>10</v>
      </c>
      <c r="O46" s="10">
        <v>11</v>
      </c>
      <c r="P46" s="10">
        <v>12</v>
      </c>
      <c r="Q46" s="1">
        <v>13</v>
      </c>
      <c r="R46" s="1">
        <v>14</v>
      </c>
      <c r="S46" s="1">
        <v>15</v>
      </c>
      <c r="T46" s="1">
        <v>16</v>
      </c>
      <c r="U46" s="1">
        <v>17</v>
      </c>
      <c r="V46" s="10">
        <v>18</v>
      </c>
      <c r="W46" s="10">
        <v>19</v>
      </c>
      <c r="X46" s="1">
        <v>20</v>
      </c>
      <c r="Y46" s="1">
        <v>21</v>
      </c>
      <c r="Z46" s="1">
        <v>22</v>
      </c>
      <c r="AA46" s="1">
        <v>23</v>
      </c>
      <c r="AB46" s="1">
        <v>24</v>
      </c>
      <c r="AC46" s="10">
        <v>25</v>
      </c>
      <c r="AD46" s="10">
        <v>26</v>
      </c>
      <c r="AE46" s="1">
        <v>27</v>
      </c>
      <c r="AF46" s="1">
        <v>28</v>
      </c>
      <c r="AG46" s="1">
        <v>29</v>
      </c>
      <c r="AH46" s="1">
        <v>30</v>
      </c>
      <c r="AI46" s="5">
        <v>31</v>
      </c>
      <c r="AK46" s="128"/>
      <c r="AL46" s="47"/>
      <c r="AM46" s="23"/>
      <c r="AN46" s="24"/>
      <c r="AP46" s="126"/>
    </row>
    <row r="47" spans="2:42" ht="29.25" x14ac:dyDescent="0.4">
      <c r="B47" s="244"/>
      <c r="C47" s="244"/>
      <c r="D47" s="181"/>
      <c r="E47" s="223" t="s">
        <v>5</v>
      </c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307" t="s">
        <v>181</v>
      </c>
      <c r="W47" s="307"/>
      <c r="X47" s="307"/>
      <c r="Y47" s="307"/>
      <c r="Z47" s="307"/>
      <c r="AA47" s="307"/>
      <c r="AB47" s="307"/>
      <c r="AC47" s="350"/>
      <c r="AD47" s="10"/>
      <c r="AE47" s="224"/>
      <c r="AF47" s="224"/>
      <c r="AG47" s="224"/>
      <c r="AH47" s="224"/>
      <c r="AI47" s="225"/>
      <c r="AK47" s="128"/>
      <c r="AL47" s="47"/>
      <c r="AM47" s="23"/>
      <c r="AN47" s="24"/>
      <c r="AP47" s="126"/>
    </row>
    <row r="48" spans="2:42" ht="30" thickBot="1" x14ac:dyDescent="0.45">
      <c r="B48" s="244"/>
      <c r="C48" s="244"/>
      <c r="D48" s="181"/>
      <c r="E48" s="4"/>
      <c r="F48" s="1"/>
      <c r="G48" s="1"/>
      <c r="H48" s="10"/>
      <c r="I48" s="10"/>
      <c r="J48" s="1"/>
      <c r="K48" s="90" t="str">
        <f>(E133)</f>
        <v>Pre Separation Brief</v>
      </c>
      <c r="L48" s="1"/>
      <c r="M48" s="1"/>
      <c r="N48" s="1"/>
      <c r="O48" s="10"/>
      <c r="P48" s="10"/>
      <c r="Q48" s="245" t="str">
        <f>(E134)</f>
        <v>Three-Day Transition Workshop</v>
      </c>
      <c r="R48" s="246"/>
      <c r="S48" s="247"/>
      <c r="T48" s="248" t="str">
        <f>(E137)</f>
        <v>Employment 2 Day Seminar</v>
      </c>
      <c r="U48" s="249"/>
      <c r="V48" s="10"/>
      <c r="W48" s="10"/>
      <c r="X48" s="250" t="str">
        <f>(E135)</f>
        <v>Entrepreneurship 2-Day Seminar</v>
      </c>
      <c r="Y48" s="251"/>
      <c r="Z48" s="1"/>
      <c r="AA48" s="1"/>
      <c r="AB48" s="1"/>
      <c r="AC48" s="10"/>
      <c r="AD48" s="10"/>
      <c r="AE48" s="1"/>
      <c r="AF48" s="90" t="str">
        <f>(E133)</f>
        <v>Pre Separation Brief</v>
      </c>
      <c r="AG48" s="1"/>
      <c r="AH48" s="259" t="str">
        <f>(E136)</f>
        <v>Career &amp; Credential Exploration 2 Day Seminar</v>
      </c>
      <c r="AI48" s="260"/>
      <c r="AK48" s="128"/>
      <c r="AL48" s="47"/>
      <c r="AM48" s="23"/>
      <c r="AN48" s="24"/>
      <c r="AP48" s="126"/>
    </row>
    <row r="49" spans="2:95" ht="30" thickBot="1" x14ac:dyDescent="0.45">
      <c r="B49" s="244"/>
      <c r="C49" s="244"/>
      <c r="D49" s="181"/>
      <c r="E49" s="6"/>
      <c r="F49" s="7"/>
      <c r="G49" s="22" t="s">
        <v>3</v>
      </c>
      <c r="H49" s="11"/>
      <c r="I49" s="11"/>
      <c r="J49" s="7"/>
      <c r="K49" s="7"/>
      <c r="L49" s="7"/>
      <c r="M49" s="7"/>
      <c r="N49" s="7"/>
      <c r="O49" s="11"/>
      <c r="P49" s="11"/>
      <c r="Q49" s="7"/>
      <c r="R49" s="7"/>
      <c r="S49" s="87" t="str">
        <f>(E140)</f>
        <v>VA Individual Appointments</v>
      </c>
      <c r="T49" s="76"/>
      <c r="U49" s="77"/>
      <c r="V49" s="11"/>
      <c r="W49" s="11"/>
      <c r="X49" s="7"/>
      <c r="Y49" s="7"/>
      <c r="Z49" s="7"/>
      <c r="AA49" s="7"/>
      <c r="AB49" s="7"/>
      <c r="AC49" s="11"/>
      <c r="AD49" s="11"/>
      <c r="AE49" s="66" t="s">
        <v>16</v>
      </c>
      <c r="AF49" s="7"/>
      <c r="AG49" s="7"/>
      <c r="AH49" s="7"/>
      <c r="AI49" s="66" t="s">
        <v>15</v>
      </c>
      <c r="AK49" s="128"/>
      <c r="AL49" s="47"/>
      <c r="AM49" s="23"/>
      <c r="AN49" s="29">
        <v>8</v>
      </c>
      <c r="AP49" s="126">
        <f>SUM(AP43-AN49)</f>
        <v>10</v>
      </c>
    </row>
    <row r="50" spans="2:95" ht="30" thickBot="1" x14ac:dyDescent="0.45">
      <c r="B50" s="244"/>
      <c r="C50" s="244"/>
      <c r="D50" s="181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7"/>
      <c r="AP50" s="126"/>
    </row>
    <row r="51" spans="2:95" ht="29.25" x14ac:dyDescent="0.4">
      <c r="B51" s="244"/>
      <c r="C51" s="244"/>
      <c r="D51" s="181"/>
      <c r="E51" s="194">
        <v>46235</v>
      </c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6"/>
      <c r="AK51" s="128" t="s">
        <v>54</v>
      </c>
      <c r="AL51" s="47">
        <f>SUM(AL45+2.5-AN49)</f>
        <v>66</v>
      </c>
      <c r="AM51" s="23"/>
      <c r="AN51" s="24"/>
      <c r="AP51" s="126"/>
    </row>
    <row r="52" spans="2:95" ht="29.25" x14ac:dyDescent="0.4">
      <c r="B52" s="244"/>
      <c r="C52" s="244"/>
      <c r="D52" s="181"/>
      <c r="E52" s="12">
        <v>1</v>
      </c>
      <c r="F52" s="10">
        <v>2</v>
      </c>
      <c r="G52" s="1">
        <v>3</v>
      </c>
      <c r="H52" s="1">
        <v>4</v>
      </c>
      <c r="I52" s="1">
        <v>5</v>
      </c>
      <c r="J52" s="1">
        <v>6</v>
      </c>
      <c r="K52" s="1">
        <v>7</v>
      </c>
      <c r="L52" s="10">
        <v>8</v>
      </c>
      <c r="M52" s="10">
        <v>9</v>
      </c>
      <c r="N52" s="1">
        <v>10</v>
      </c>
      <c r="O52" s="1">
        <v>11</v>
      </c>
      <c r="P52" s="1">
        <v>12</v>
      </c>
      <c r="Q52" s="1">
        <v>13</v>
      </c>
      <c r="R52" s="1">
        <v>14</v>
      </c>
      <c r="S52" s="10">
        <v>15</v>
      </c>
      <c r="T52" s="10">
        <v>16</v>
      </c>
      <c r="U52" s="1">
        <v>17</v>
      </c>
      <c r="V52" s="1">
        <v>18</v>
      </c>
      <c r="W52" s="1">
        <v>19</v>
      </c>
      <c r="X52" s="1">
        <v>20</v>
      </c>
      <c r="Y52" s="1">
        <v>21</v>
      </c>
      <c r="Z52" s="10">
        <v>22</v>
      </c>
      <c r="AA52" s="10">
        <v>23</v>
      </c>
      <c r="AB52" s="1">
        <v>24</v>
      </c>
      <c r="AC52" s="1">
        <v>25</v>
      </c>
      <c r="AD52" s="1">
        <v>26</v>
      </c>
      <c r="AE52" s="1">
        <v>27</v>
      </c>
      <c r="AF52" s="1">
        <v>28</v>
      </c>
      <c r="AG52" s="10">
        <v>29</v>
      </c>
      <c r="AH52" s="10">
        <v>30</v>
      </c>
      <c r="AI52" s="5">
        <v>31</v>
      </c>
      <c r="AJ52" s="56"/>
      <c r="AK52" s="56"/>
      <c r="AL52" s="47"/>
      <c r="AM52" s="23"/>
      <c r="AN52" s="24"/>
      <c r="AP52" s="126"/>
    </row>
    <row r="53" spans="2:95" ht="30" thickBot="1" x14ac:dyDescent="0.45">
      <c r="B53" s="244"/>
      <c r="C53" s="244"/>
      <c r="D53" s="181"/>
      <c r="E53" s="273" t="s">
        <v>31</v>
      </c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144" t="s">
        <v>87</v>
      </c>
      <c r="AJ53" s="118">
        <v>20</v>
      </c>
      <c r="AK53" s="128"/>
      <c r="AL53" s="47"/>
      <c r="AM53" s="23"/>
      <c r="AN53" s="24"/>
      <c r="AP53" s="126"/>
    </row>
    <row r="54" spans="2:95" ht="30" thickBot="1" x14ac:dyDescent="0.45">
      <c r="B54" s="244"/>
      <c r="C54" s="244"/>
      <c r="D54" s="181"/>
      <c r="E54" s="12"/>
      <c r="F54" s="10"/>
      <c r="G54" s="1"/>
      <c r="H54" s="90" t="str">
        <f>(E133)</f>
        <v>Pre Separation Brief</v>
      </c>
      <c r="I54" s="1"/>
      <c r="J54" s="1"/>
      <c r="K54" s="1"/>
      <c r="L54" s="10"/>
      <c r="M54" s="10"/>
      <c r="N54" s="1"/>
      <c r="O54" s="90" t="str">
        <f>(E133)</f>
        <v>Pre Separation Brief</v>
      </c>
      <c r="P54" s="1"/>
      <c r="Q54" s="253" t="str">
        <f>(E138)</f>
        <v>Education  2 Day Seminar</v>
      </c>
      <c r="R54" s="254"/>
      <c r="S54" s="10"/>
      <c r="T54" s="75"/>
      <c r="U54" s="255" t="str">
        <f>(E134)</f>
        <v>Three-Day Transition Workshop</v>
      </c>
      <c r="V54" s="256"/>
      <c r="W54" s="256"/>
      <c r="X54" s="257" t="str">
        <f>(E137)</f>
        <v>Employment 2 Day Seminar</v>
      </c>
      <c r="Y54" s="258"/>
      <c r="Z54" s="74"/>
      <c r="AA54" s="10"/>
      <c r="AB54" s="1"/>
      <c r="AC54" s="1"/>
      <c r="AD54" s="1"/>
      <c r="AE54" s="1"/>
      <c r="AF54" s="1"/>
      <c r="AG54" s="10"/>
      <c r="AH54" s="10"/>
      <c r="AI54" s="5"/>
      <c r="AK54" s="128"/>
      <c r="AL54" s="47"/>
      <c r="AM54" s="23"/>
      <c r="AN54" s="24"/>
      <c r="AP54" s="126"/>
    </row>
    <row r="55" spans="2:95" ht="30" thickBot="1" x14ac:dyDescent="0.45">
      <c r="B55" s="244"/>
      <c r="C55" s="244"/>
      <c r="D55" s="181"/>
      <c r="E55" s="13"/>
      <c r="F55" s="11"/>
      <c r="G55" s="7"/>
      <c r="H55" s="7"/>
      <c r="I55" s="7"/>
      <c r="J55" s="7"/>
      <c r="K55" s="7"/>
      <c r="L55" s="11"/>
      <c r="M55" s="11"/>
      <c r="N55" s="7"/>
      <c r="O55" s="7"/>
      <c r="P55" s="7"/>
      <c r="Q55" s="7"/>
      <c r="R55" s="7"/>
      <c r="S55" s="11"/>
      <c r="T55" s="11"/>
      <c r="U55" s="73"/>
      <c r="V55" s="73"/>
      <c r="W55" s="87" t="str">
        <f>(E140)</f>
        <v>VA Individual Appointments</v>
      </c>
      <c r="X55" s="73"/>
      <c r="Y55" s="73"/>
      <c r="Z55" s="11"/>
      <c r="AA55" s="11"/>
      <c r="AB55" s="7"/>
      <c r="AC55" s="7"/>
      <c r="AD55" s="7"/>
      <c r="AE55" s="7"/>
      <c r="AF55" s="7"/>
      <c r="AG55" s="11"/>
      <c r="AH55" s="11"/>
      <c r="AI55" s="8"/>
      <c r="AK55" s="128"/>
      <c r="AL55" s="47"/>
      <c r="AM55" s="23"/>
      <c r="AN55" s="29">
        <v>1</v>
      </c>
      <c r="AP55" s="126">
        <f>SUM(AP49-AN55)</f>
        <v>9</v>
      </c>
    </row>
    <row r="56" spans="2:95" ht="30" thickBot="1" x14ac:dyDescent="0.45">
      <c r="B56" s="244"/>
      <c r="C56" s="244"/>
      <c r="D56" s="181"/>
      <c r="AK56" s="128"/>
      <c r="AL56" s="47"/>
      <c r="AM56" s="23"/>
      <c r="AN56" s="24"/>
      <c r="AP56" s="126"/>
    </row>
    <row r="57" spans="2:95" ht="29.25" x14ac:dyDescent="0.4">
      <c r="B57" s="244"/>
      <c r="C57" s="244"/>
      <c r="D57" s="181"/>
      <c r="E57" s="194">
        <v>46266</v>
      </c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6"/>
      <c r="AK57" s="128" t="s">
        <v>55</v>
      </c>
      <c r="AL57" s="47">
        <f>SUM(AL51+2.5-AN55)</f>
        <v>67.5</v>
      </c>
      <c r="AM57" s="23"/>
      <c r="AN57" s="24"/>
      <c r="AP57" s="126"/>
    </row>
    <row r="58" spans="2:95" ht="29.25" x14ac:dyDescent="0.4">
      <c r="B58" s="244"/>
      <c r="C58" s="244"/>
      <c r="D58" s="181"/>
      <c r="E58" s="4">
        <v>1</v>
      </c>
      <c r="F58" s="1">
        <v>2</v>
      </c>
      <c r="G58" s="1">
        <v>3</v>
      </c>
      <c r="H58" s="1">
        <v>4</v>
      </c>
      <c r="I58" s="10">
        <v>5</v>
      </c>
      <c r="J58" s="10">
        <v>6</v>
      </c>
      <c r="K58" s="1">
        <v>7</v>
      </c>
      <c r="L58" s="1">
        <v>8</v>
      </c>
      <c r="M58" s="1">
        <v>9</v>
      </c>
      <c r="N58" s="1">
        <v>10</v>
      </c>
      <c r="O58" s="1">
        <v>11</v>
      </c>
      <c r="P58" s="10">
        <v>12</v>
      </c>
      <c r="Q58" s="10">
        <v>13</v>
      </c>
      <c r="R58" s="1">
        <v>14</v>
      </c>
      <c r="S58" s="1">
        <v>15</v>
      </c>
      <c r="T58" s="1">
        <v>16</v>
      </c>
      <c r="U58" s="1">
        <v>17</v>
      </c>
      <c r="V58" s="1">
        <v>18</v>
      </c>
      <c r="W58" s="10">
        <v>19</v>
      </c>
      <c r="X58" s="10">
        <v>20</v>
      </c>
      <c r="Y58" s="1">
        <v>21</v>
      </c>
      <c r="Z58" s="1">
        <v>22</v>
      </c>
      <c r="AA58" s="1">
        <v>23</v>
      </c>
      <c r="AB58" s="1">
        <v>24</v>
      </c>
      <c r="AC58" s="1">
        <v>25</v>
      </c>
      <c r="AD58" s="10">
        <v>26</v>
      </c>
      <c r="AE58" s="10">
        <v>27</v>
      </c>
      <c r="AF58" s="1">
        <v>28</v>
      </c>
      <c r="AG58" s="1">
        <v>29</v>
      </c>
      <c r="AH58" s="1">
        <v>30</v>
      </c>
      <c r="AI58" s="5"/>
      <c r="AK58" s="128"/>
      <c r="AL58" s="47"/>
      <c r="AM58" s="23"/>
      <c r="AN58" s="24"/>
      <c r="AP58" s="126"/>
    </row>
    <row r="59" spans="2:95" ht="29.25" x14ac:dyDescent="0.4">
      <c r="B59" s="244"/>
      <c r="C59" s="244"/>
      <c r="D59" s="181"/>
      <c r="E59" s="263" t="s">
        <v>130</v>
      </c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85"/>
      <c r="AE59" s="85"/>
      <c r="AF59" s="264" t="s">
        <v>35</v>
      </c>
      <c r="AG59" s="265"/>
      <c r="AH59" s="266"/>
      <c r="AI59" s="5"/>
      <c r="AJ59" s="118">
        <v>8</v>
      </c>
      <c r="AK59" s="128"/>
      <c r="AL59" s="47"/>
      <c r="AM59" s="23"/>
      <c r="AN59" s="24"/>
      <c r="AP59" s="126"/>
    </row>
    <row r="60" spans="2:95" ht="30" thickBot="1" x14ac:dyDescent="0.45">
      <c r="B60" s="244"/>
      <c r="C60" s="244"/>
      <c r="D60" s="181"/>
      <c r="E60" s="78"/>
      <c r="F60" s="78"/>
      <c r="G60" s="78"/>
      <c r="H60" s="78"/>
      <c r="I60" s="80"/>
      <c r="J60" s="80"/>
      <c r="K60" s="78"/>
      <c r="L60" s="95" t="str">
        <f>(E132)</f>
        <v>Initial Individual Counseling</v>
      </c>
      <c r="M60" s="96"/>
      <c r="N60" s="99"/>
      <c r="O60" s="99"/>
      <c r="P60" s="97"/>
      <c r="Q60" s="85"/>
      <c r="R60" s="288" t="str">
        <f>(E134)</f>
        <v>Three-Day Transition Workshop</v>
      </c>
      <c r="S60" s="289"/>
      <c r="T60" s="290"/>
      <c r="U60" s="304" t="str">
        <f>(E136)</f>
        <v>Career &amp; Credential Exploration 2 Day Seminar</v>
      </c>
      <c r="V60" s="305"/>
      <c r="W60" s="85"/>
      <c r="X60" s="85"/>
      <c r="Y60" s="84"/>
      <c r="Z60" s="84"/>
      <c r="AA60" s="84"/>
      <c r="AB60" s="84"/>
      <c r="AC60" s="84"/>
      <c r="AD60" s="85"/>
      <c r="AE60" s="85"/>
      <c r="AF60" s="84"/>
      <c r="AG60" s="95" t="str">
        <f>(E132)</f>
        <v>Initial Individual Counseling</v>
      </c>
      <c r="AH60" s="84"/>
      <c r="AI60" s="135"/>
      <c r="AK60" s="128"/>
      <c r="AL60" s="47"/>
      <c r="AM60" s="23"/>
      <c r="AN60" s="27"/>
      <c r="AP60" s="126"/>
    </row>
    <row r="61" spans="2:95" ht="30" thickBot="1" x14ac:dyDescent="0.45">
      <c r="B61" s="244"/>
      <c r="C61" s="244"/>
      <c r="D61" s="181"/>
      <c r="E61" s="72"/>
      <c r="F61" s="73"/>
      <c r="G61" s="73"/>
      <c r="H61" s="73"/>
      <c r="I61" s="79"/>
      <c r="J61" s="79"/>
      <c r="K61" s="142" t="s">
        <v>83</v>
      </c>
      <c r="L61" s="81"/>
      <c r="M61" s="81"/>
      <c r="N61" s="98"/>
      <c r="O61" s="98"/>
      <c r="P61" s="82"/>
      <c r="Q61" s="82"/>
      <c r="R61" s="81"/>
      <c r="S61" s="81"/>
      <c r="T61" s="88" t="str">
        <f>(E140)</f>
        <v>VA Individual Appointments</v>
      </c>
      <c r="U61" s="81"/>
      <c r="V61" s="81"/>
      <c r="W61" s="82"/>
      <c r="X61" s="82"/>
      <c r="Y61" s="81"/>
      <c r="Z61" s="81"/>
      <c r="AA61" s="81"/>
      <c r="AB61" s="81"/>
      <c r="AC61" s="81"/>
      <c r="AD61" s="82"/>
      <c r="AE61" s="82"/>
      <c r="AF61" s="81"/>
      <c r="AG61" s="81"/>
      <c r="AH61" s="81"/>
      <c r="AI61" s="83"/>
      <c r="AK61" s="128"/>
      <c r="AL61" s="47"/>
      <c r="AM61" s="26"/>
      <c r="AN61" s="29">
        <v>25</v>
      </c>
      <c r="AP61" s="126">
        <f>SUM(AP55-AN61)</f>
        <v>-16</v>
      </c>
    </row>
    <row r="62" spans="2:95" ht="15.75" thickBot="1" x14ac:dyDescent="0.25">
      <c r="B62" s="244"/>
      <c r="C62" s="244"/>
      <c r="D62" s="181"/>
      <c r="AK62" s="128"/>
      <c r="AL62" s="47"/>
      <c r="AM62" s="23"/>
      <c r="AN62" s="28"/>
    </row>
    <row r="63" spans="2:95" x14ac:dyDescent="0.2">
      <c r="B63" s="244"/>
      <c r="C63" s="244"/>
      <c r="D63" s="181"/>
      <c r="E63" s="194">
        <v>46296</v>
      </c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6"/>
      <c r="AK63" s="128" t="s">
        <v>56</v>
      </c>
      <c r="AL63" s="47">
        <f>SUM(AL57+2.5-AN61)</f>
        <v>45</v>
      </c>
      <c r="AM63" s="23"/>
      <c r="AN63" s="24"/>
    </row>
    <row r="64" spans="2:95" x14ac:dyDescent="0.2">
      <c r="B64" s="244"/>
      <c r="C64" s="244"/>
      <c r="D64" s="181"/>
      <c r="E64" s="4">
        <v>1</v>
      </c>
      <c r="F64" s="1">
        <v>2</v>
      </c>
      <c r="G64" s="10">
        <v>3</v>
      </c>
      <c r="H64" s="10">
        <v>4</v>
      </c>
      <c r="I64" s="1">
        <v>5</v>
      </c>
      <c r="J64" s="1">
        <v>6</v>
      </c>
      <c r="K64" s="1">
        <v>7</v>
      </c>
      <c r="L64" s="1">
        <v>8</v>
      </c>
      <c r="M64" s="1">
        <v>9</v>
      </c>
      <c r="N64" s="10">
        <v>10</v>
      </c>
      <c r="O64" s="10">
        <v>11</v>
      </c>
      <c r="P64" s="1">
        <v>12</v>
      </c>
      <c r="Q64" s="1">
        <v>13</v>
      </c>
      <c r="R64" s="1">
        <v>14</v>
      </c>
      <c r="S64" s="1">
        <v>15</v>
      </c>
      <c r="T64" s="1">
        <v>16</v>
      </c>
      <c r="U64" s="10">
        <v>17</v>
      </c>
      <c r="V64" s="10">
        <v>18</v>
      </c>
      <c r="W64" s="1">
        <v>19</v>
      </c>
      <c r="X64" s="1">
        <v>20</v>
      </c>
      <c r="Y64" s="1">
        <v>21</v>
      </c>
      <c r="Z64" s="1">
        <v>22</v>
      </c>
      <c r="AA64" s="1">
        <v>23</v>
      </c>
      <c r="AB64" s="10">
        <v>24</v>
      </c>
      <c r="AC64" s="10">
        <v>25</v>
      </c>
      <c r="AD64" s="1">
        <v>26</v>
      </c>
      <c r="AE64" s="1">
        <v>27</v>
      </c>
      <c r="AF64" s="1">
        <v>28</v>
      </c>
      <c r="AG64" s="1">
        <v>29</v>
      </c>
      <c r="AH64" s="1">
        <v>30</v>
      </c>
      <c r="AI64" s="14">
        <v>31</v>
      </c>
      <c r="AJ64" s="56"/>
      <c r="AK64" s="56"/>
      <c r="AL64" s="47"/>
      <c r="AM64" s="23"/>
      <c r="AN64" s="24"/>
      <c r="BM64" s="262" t="s">
        <v>0</v>
      </c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</row>
    <row r="65" spans="1:95" ht="21.75" thickBot="1" x14ac:dyDescent="0.35">
      <c r="B65" s="244"/>
      <c r="C65" s="244"/>
      <c r="D65" s="181"/>
      <c r="E65" s="201" t="s">
        <v>35</v>
      </c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307" t="s">
        <v>161</v>
      </c>
      <c r="S65" s="307"/>
      <c r="T65" s="307"/>
      <c r="U65" s="265" t="s">
        <v>35</v>
      </c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265"/>
      <c r="AI65" s="310"/>
      <c r="AJ65" s="56">
        <v>12</v>
      </c>
      <c r="AK65" s="56"/>
      <c r="AL65" s="47"/>
      <c r="AM65" s="23"/>
      <c r="AN65" s="24"/>
      <c r="BM65">
        <v>1</v>
      </c>
      <c r="BN65">
        <v>2</v>
      </c>
      <c r="BO65">
        <v>3</v>
      </c>
      <c r="BP65">
        <v>4</v>
      </c>
      <c r="BQ65">
        <v>5</v>
      </c>
      <c r="BR65">
        <v>6</v>
      </c>
      <c r="BS65">
        <v>7</v>
      </c>
      <c r="BT65">
        <v>8</v>
      </c>
      <c r="BU65">
        <v>9</v>
      </c>
      <c r="BV65">
        <v>10</v>
      </c>
      <c r="BW65">
        <v>11</v>
      </c>
      <c r="BX65">
        <v>12</v>
      </c>
      <c r="BY65">
        <v>13</v>
      </c>
      <c r="BZ65">
        <v>14</v>
      </c>
      <c r="CA65">
        <v>15</v>
      </c>
      <c r="CB65">
        <v>16</v>
      </c>
      <c r="CC65">
        <v>17</v>
      </c>
      <c r="CD65">
        <v>18</v>
      </c>
      <c r="CE65">
        <v>19</v>
      </c>
      <c r="CF65">
        <v>20</v>
      </c>
      <c r="CG65">
        <v>21</v>
      </c>
      <c r="CH65">
        <v>22</v>
      </c>
      <c r="CI65">
        <v>23</v>
      </c>
      <c r="CJ65">
        <v>24</v>
      </c>
      <c r="CK65">
        <v>25</v>
      </c>
      <c r="CL65">
        <v>26</v>
      </c>
      <c r="CM65">
        <v>27</v>
      </c>
      <c r="CN65">
        <v>28</v>
      </c>
      <c r="CO65">
        <v>29</v>
      </c>
      <c r="CP65">
        <v>30</v>
      </c>
      <c r="CQ65">
        <v>31</v>
      </c>
    </row>
    <row r="66" spans="1:95" ht="15.75" thickBot="1" x14ac:dyDescent="0.25">
      <c r="B66" s="244"/>
      <c r="C66" s="244"/>
      <c r="D66" s="181"/>
      <c r="E66" s="4"/>
      <c r="F66" s="1"/>
      <c r="G66" s="10"/>
      <c r="H66" s="10"/>
      <c r="I66" s="250" t="str">
        <f>(E135)</f>
        <v>Entrepreneurship 2-Day Seminar</v>
      </c>
      <c r="J66" s="251"/>
      <c r="K66" s="1"/>
      <c r="L66" s="1"/>
      <c r="M66" s="1"/>
      <c r="N66" s="10"/>
      <c r="O66" s="10"/>
      <c r="P66" s="1"/>
      <c r="Q66" s="1"/>
      <c r="R66" s="1"/>
      <c r="S66" s="1"/>
      <c r="T66" s="1"/>
      <c r="U66" s="10"/>
      <c r="V66" s="10"/>
      <c r="W66" s="288" t="str">
        <f>(E134)</f>
        <v>Three-Day Transition Workshop</v>
      </c>
      <c r="X66" s="289"/>
      <c r="Y66" s="290"/>
      <c r="Z66" s="257" t="str">
        <f>(E137)</f>
        <v>Employment 2 Day Seminar</v>
      </c>
      <c r="AA66" s="258"/>
      <c r="AB66" s="10"/>
      <c r="AC66" s="10"/>
      <c r="AD66" s="1"/>
      <c r="AE66" s="93" t="str">
        <f>(E133)</f>
        <v>Pre Separation Brief</v>
      </c>
      <c r="AF66" s="1"/>
      <c r="AG66" s="94" t="str">
        <f>(E138)</f>
        <v>Education  2 Day Seminar</v>
      </c>
      <c r="AH66" s="1"/>
      <c r="AI66" s="14"/>
      <c r="AK66" s="128"/>
      <c r="AL66" s="47"/>
      <c r="AM66" s="23"/>
      <c r="AN66" s="27"/>
    </row>
    <row r="67" spans="1:95" ht="15.75" thickBot="1" x14ac:dyDescent="0.25">
      <c r="B67" s="244"/>
      <c r="C67" s="244"/>
      <c r="D67" s="181"/>
      <c r="E67" s="4"/>
      <c r="F67" s="1"/>
      <c r="G67" s="10"/>
      <c r="H67" s="10"/>
      <c r="I67" s="70" t="s">
        <v>89</v>
      </c>
      <c r="J67" s="1"/>
      <c r="K67" s="1"/>
      <c r="L67" s="1"/>
      <c r="M67" s="70" t="s">
        <v>29</v>
      </c>
      <c r="N67" s="10"/>
      <c r="O67" s="10"/>
      <c r="P67" s="141" t="s">
        <v>84</v>
      </c>
      <c r="Q67" s="1"/>
      <c r="R67" s="1"/>
      <c r="S67" s="1"/>
      <c r="T67" s="1"/>
      <c r="U67" s="10"/>
      <c r="V67" s="10"/>
      <c r="W67" s="1"/>
      <c r="X67" s="1"/>
      <c r="Y67" s="88" t="str">
        <f>(E140)</f>
        <v>VA Individual Appointments</v>
      </c>
      <c r="Z67" s="1"/>
      <c r="AA67" s="1"/>
      <c r="AB67" s="10"/>
      <c r="AC67" s="10"/>
      <c r="AD67" s="1"/>
      <c r="AE67" s="1"/>
      <c r="AF67" s="1"/>
      <c r="AG67" s="1"/>
      <c r="AH67" s="1"/>
      <c r="AI67" s="15"/>
      <c r="AK67" s="128"/>
      <c r="AL67" s="47"/>
      <c r="AM67" s="26"/>
      <c r="AN67" s="29">
        <v>3</v>
      </c>
    </row>
    <row r="68" spans="1:95" ht="15.75" thickBot="1" x14ac:dyDescent="0.25">
      <c r="B68" s="244"/>
      <c r="C68" s="244"/>
      <c r="D68" s="18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K68" s="128"/>
      <c r="AL68" s="47"/>
      <c r="AM68" s="23"/>
      <c r="AN68" s="28"/>
    </row>
    <row r="69" spans="1:95" ht="15.75" thickBot="1" x14ac:dyDescent="0.25">
      <c r="B69" s="244"/>
      <c r="C69" s="244"/>
      <c r="D69" s="252">
        <v>1</v>
      </c>
      <c r="E69" s="190">
        <v>46327</v>
      </c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2"/>
      <c r="AH69" s="192"/>
      <c r="AI69" s="193"/>
      <c r="AK69" s="128" t="s">
        <v>57</v>
      </c>
      <c r="AL69" s="47">
        <f>SUM(AL63+2.5-AN67)</f>
        <v>44.5</v>
      </c>
      <c r="AM69" s="23"/>
      <c r="AN69" s="24"/>
    </row>
    <row r="70" spans="1:95" x14ac:dyDescent="0.2">
      <c r="B70" s="244"/>
      <c r="C70" s="244"/>
      <c r="D70" s="252"/>
      <c r="E70" s="120">
        <v>1</v>
      </c>
      <c r="F70" s="57">
        <v>2</v>
      </c>
      <c r="G70" s="57">
        <v>3</v>
      </c>
      <c r="H70" s="57">
        <v>4</v>
      </c>
      <c r="I70" s="57">
        <v>5</v>
      </c>
      <c r="J70" s="57">
        <v>6</v>
      </c>
      <c r="K70" s="58">
        <v>7</v>
      </c>
      <c r="L70" s="58">
        <v>8</v>
      </c>
      <c r="M70" s="57">
        <v>9</v>
      </c>
      <c r="N70" s="57">
        <v>10</v>
      </c>
      <c r="O70" s="57">
        <v>11</v>
      </c>
      <c r="P70" s="57">
        <v>12</v>
      </c>
      <c r="Q70" s="57">
        <v>13</v>
      </c>
      <c r="R70" s="58">
        <v>14</v>
      </c>
      <c r="S70" s="58">
        <v>15</v>
      </c>
      <c r="T70" s="57">
        <v>16</v>
      </c>
      <c r="U70" s="57">
        <v>17</v>
      </c>
      <c r="V70" s="57">
        <v>18</v>
      </c>
      <c r="W70" s="57">
        <v>19</v>
      </c>
      <c r="X70" s="57">
        <v>20</v>
      </c>
      <c r="Y70" s="58">
        <v>21</v>
      </c>
      <c r="Z70" s="58">
        <v>22</v>
      </c>
      <c r="AA70" s="57">
        <v>23</v>
      </c>
      <c r="AB70" s="57">
        <v>24</v>
      </c>
      <c r="AC70" s="68">
        <v>25</v>
      </c>
      <c r="AD70" s="68">
        <v>26</v>
      </c>
      <c r="AE70" s="68">
        <v>27</v>
      </c>
      <c r="AF70" s="69">
        <v>28</v>
      </c>
      <c r="AG70" s="69">
        <v>29</v>
      </c>
      <c r="AH70" s="64">
        <v>30</v>
      </c>
      <c r="AI70" s="3"/>
      <c r="AJ70" s="56"/>
      <c r="AK70" s="56"/>
      <c r="AL70" s="47"/>
      <c r="AM70" s="23"/>
      <c r="AN70" s="24"/>
    </row>
    <row r="71" spans="1:95" ht="21" x14ac:dyDescent="0.3">
      <c r="A71" s="67"/>
      <c r="B71" s="244"/>
      <c r="C71" s="244"/>
      <c r="D71" s="252"/>
      <c r="E71" s="273" t="s">
        <v>5</v>
      </c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5"/>
      <c r="AJ71" s="118">
        <v>13</v>
      </c>
      <c r="AK71" s="128"/>
      <c r="AL71" s="47"/>
      <c r="AM71" s="23"/>
      <c r="AN71" s="24"/>
    </row>
    <row r="72" spans="1:95" ht="15.75" thickBot="1" x14ac:dyDescent="0.25">
      <c r="B72" s="244"/>
      <c r="C72" s="244"/>
      <c r="D72" s="252"/>
      <c r="E72" s="121"/>
      <c r="F72" s="59"/>
      <c r="G72" s="59"/>
      <c r="H72" s="59"/>
      <c r="I72" s="59"/>
      <c r="J72" s="59"/>
      <c r="K72" s="60"/>
      <c r="L72" s="60"/>
      <c r="M72" s="59"/>
      <c r="N72" s="59"/>
      <c r="O72" s="59"/>
      <c r="P72" s="298" t="str">
        <f>(E136)</f>
        <v>Career &amp; Credential Exploration 2 Day Seminar</v>
      </c>
      <c r="Q72" s="299"/>
      <c r="R72" s="60"/>
      <c r="S72" s="60"/>
      <c r="T72" s="295" t="str">
        <f>(E134)</f>
        <v>Three-Day Transition Workshop</v>
      </c>
      <c r="U72" s="296"/>
      <c r="V72" s="297"/>
      <c r="W72" s="280" t="str">
        <f>(E137)</f>
        <v>Employment 2 Day Seminar</v>
      </c>
      <c r="X72" s="281"/>
      <c r="Y72" s="60"/>
      <c r="Z72" s="60"/>
      <c r="AA72" s="59"/>
      <c r="AB72" s="123" t="str">
        <f>(E133)</f>
        <v>Pre Separation Brief</v>
      </c>
      <c r="AC72" s="59"/>
      <c r="AD72" s="59"/>
      <c r="AE72" s="59"/>
      <c r="AF72" s="60"/>
      <c r="AG72" s="60"/>
      <c r="AH72" s="1"/>
      <c r="AI72" s="5"/>
      <c r="AK72" s="128"/>
      <c r="AL72" s="47"/>
      <c r="AM72" s="23"/>
      <c r="AN72" s="27"/>
    </row>
    <row r="73" spans="1:95" ht="15.75" thickBot="1" x14ac:dyDescent="0.25">
      <c r="B73" s="244"/>
      <c r="C73" s="244"/>
      <c r="D73" s="252"/>
      <c r="E73" s="13"/>
      <c r="F73" s="7"/>
      <c r="G73" s="92" t="str">
        <f>(E133)</f>
        <v>Pre Separation Brief</v>
      </c>
      <c r="H73" s="7"/>
      <c r="I73" s="7"/>
      <c r="J73" s="7"/>
      <c r="K73" s="11"/>
      <c r="L73" s="11"/>
      <c r="M73" s="7"/>
      <c r="N73" s="143" t="s">
        <v>111</v>
      </c>
      <c r="O73" s="143" t="s">
        <v>85</v>
      </c>
      <c r="P73" s="7"/>
      <c r="Q73" s="7"/>
      <c r="R73" s="11"/>
      <c r="S73" s="11"/>
      <c r="T73" s="7"/>
      <c r="U73" s="7"/>
      <c r="V73" s="89" t="str">
        <f>(E140)</f>
        <v>VA Individual Appointments</v>
      </c>
      <c r="W73" s="7"/>
      <c r="X73" s="7"/>
      <c r="Y73" s="11"/>
      <c r="Z73" s="11"/>
      <c r="AA73" s="7"/>
      <c r="AB73" s="7"/>
      <c r="AC73" s="7"/>
      <c r="AD73" s="211" t="s">
        <v>2</v>
      </c>
      <c r="AE73" s="212"/>
      <c r="AF73" s="11"/>
      <c r="AG73" s="11"/>
      <c r="AH73" s="7"/>
      <c r="AI73" s="8"/>
      <c r="AK73" s="128"/>
      <c r="AL73" s="47"/>
      <c r="AM73" s="26"/>
      <c r="AN73" s="29">
        <v>0</v>
      </c>
    </row>
    <row r="74" spans="1:95" ht="15.75" thickBot="1" x14ac:dyDescent="0.25">
      <c r="B74" s="244"/>
      <c r="C74" s="244"/>
      <c r="D74" s="181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K74" s="128"/>
      <c r="AL74" s="47"/>
      <c r="AM74" s="23"/>
      <c r="AN74" s="28"/>
    </row>
    <row r="75" spans="1:95" x14ac:dyDescent="0.2">
      <c r="B75" s="244"/>
      <c r="C75" s="244"/>
      <c r="D75" s="252">
        <v>2</v>
      </c>
      <c r="E75" s="217">
        <v>46357</v>
      </c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9"/>
      <c r="AH75" s="219"/>
      <c r="AI75" s="220"/>
      <c r="AK75" s="128" t="s">
        <v>58</v>
      </c>
      <c r="AL75" s="47">
        <f>SUM(AL69+2.5-AN73)</f>
        <v>47</v>
      </c>
      <c r="AM75" s="23"/>
      <c r="AN75" s="24"/>
    </row>
    <row r="76" spans="1:95" x14ac:dyDescent="0.2">
      <c r="B76" s="244"/>
      <c r="C76" s="244"/>
      <c r="D76" s="252"/>
      <c r="E76" s="4">
        <v>1</v>
      </c>
      <c r="F76" s="1">
        <v>2</v>
      </c>
      <c r="G76" s="1">
        <v>3</v>
      </c>
      <c r="H76" s="1">
        <v>4</v>
      </c>
      <c r="I76" s="10">
        <v>5</v>
      </c>
      <c r="J76" s="10">
        <v>6</v>
      </c>
      <c r="K76" s="1">
        <v>7</v>
      </c>
      <c r="L76" s="1">
        <v>8</v>
      </c>
      <c r="M76" s="1">
        <v>9</v>
      </c>
      <c r="N76" s="1">
        <v>10</v>
      </c>
      <c r="O76" s="1">
        <v>11</v>
      </c>
      <c r="P76" s="10">
        <v>12</v>
      </c>
      <c r="Q76" s="10">
        <v>13</v>
      </c>
      <c r="R76" s="1">
        <v>14</v>
      </c>
      <c r="S76" s="1">
        <v>15</v>
      </c>
      <c r="T76" s="1">
        <v>16</v>
      </c>
      <c r="U76" s="1">
        <v>17</v>
      </c>
      <c r="V76" s="1">
        <v>18</v>
      </c>
      <c r="W76" s="10">
        <v>19</v>
      </c>
      <c r="X76" s="10">
        <v>20</v>
      </c>
      <c r="Y76" s="1">
        <v>21</v>
      </c>
      <c r="Z76" s="1">
        <v>22</v>
      </c>
      <c r="AA76" s="1">
        <v>23</v>
      </c>
      <c r="AB76" s="1">
        <v>24</v>
      </c>
      <c r="AC76" s="1">
        <v>25</v>
      </c>
      <c r="AD76" s="10">
        <v>26</v>
      </c>
      <c r="AE76" s="10">
        <v>27</v>
      </c>
      <c r="AF76" s="1">
        <v>28</v>
      </c>
      <c r="AG76" s="1">
        <v>29</v>
      </c>
      <c r="AH76" s="1">
        <v>30</v>
      </c>
      <c r="AI76" s="1">
        <v>31</v>
      </c>
      <c r="AK76" s="128"/>
      <c r="AL76" s="47"/>
      <c r="AM76" s="23"/>
      <c r="AN76" s="24"/>
    </row>
    <row r="77" spans="1:95" ht="21.75" thickBot="1" x14ac:dyDescent="0.35">
      <c r="B77" s="244"/>
      <c r="C77" s="244"/>
      <c r="D77" s="252"/>
      <c r="E77" s="200" t="s">
        <v>33</v>
      </c>
      <c r="F77" s="201"/>
      <c r="G77" s="201"/>
      <c r="H77" s="201"/>
      <c r="I77" s="355" t="s">
        <v>192</v>
      </c>
      <c r="J77" s="355"/>
      <c r="K77" s="355"/>
      <c r="L77" s="355"/>
      <c r="M77" s="355"/>
      <c r="N77" s="355"/>
      <c r="O77" s="355"/>
      <c r="P77" s="355"/>
      <c r="Q77" s="355"/>
      <c r="R77" s="355"/>
      <c r="S77" s="355"/>
      <c r="T77" s="355"/>
      <c r="U77" s="355"/>
      <c r="V77" s="355"/>
      <c r="W77" s="355"/>
      <c r="X77" s="355"/>
      <c r="Y77" s="355"/>
      <c r="Z77" s="355"/>
      <c r="AA77" s="355"/>
      <c r="AB77" s="355"/>
      <c r="AC77" s="355"/>
      <c r="AD77" s="355"/>
      <c r="AE77" s="355"/>
      <c r="AF77" s="355"/>
      <c r="AG77" s="355"/>
      <c r="AH77" s="355"/>
      <c r="AI77" s="356"/>
      <c r="AJ77" s="118">
        <v>3</v>
      </c>
      <c r="AK77" s="128"/>
      <c r="AL77" s="47"/>
      <c r="AM77" s="23"/>
      <c r="AN77" s="24"/>
    </row>
    <row r="78" spans="1:95" ht="15.75" thickBot="1" x14ac:dyDescent="0.25">
      <c r="B78" s="244"/>
      <c r="C78" s="244"/>
      <c r="D78" s="252"/>
      <c r="E78" s="91" t="str">
        <f>(E133)</f>
        <v>Pre Separation Brief</v>
      </c>
      <c r="F78" s="1"/>
      <c r="G78" s="1"/>
      <c r="H78" s="1"/>
      <c r="I78" s="10"/>
      <c r="J78" s="10"/>
      <c r="K78" s="288" t="str">
        <f>(E134)</f>
        <v>Three-Day Transition Workshop</v>
      </c>
      <c r="L78" s="289"/>
      <c r="M78" s="290"/>
      <c r="N78" s="257" t="str">
        <f>(E137)</f>
        <v>Employment 2 Day Seminar</v>
      </c>
      <c r="O78" s="258"/>
      <c r="P78" s="10"/>
      <c r="Q78" s="10"/>
      <c r="R78" s="1"/>
      <c r="S78" s="90" t="str">
        <f>(E133)</f>
        <v>Pre Separation Brief</v>
      </c>
      <c r="T78" s="1"/>
      <c r="U78" s="1"/>
      <c r="V78" s="1"/>
      <c r="W78" s="10"/>
      <c r="X78" s="10"/>
      <c r="Y78" s="1"/>
      <c r="Z78" s="1"/>
      <c r="AA78" s="1"/>
      <c r="AB78" s="1"/>
      <c r="AC78" s="1"/>
      <c r="AD78" s="10"/>
      <c r="AE78" s="10"/>
      <c r="AF78" s="1"/>
      <c r="AG78" s="1"/>
      <c r="AH78" s="1"/>
      <c r="AI78" s="5"/>
      <c r="AK78" s="128"/>
      <c r="AL78" s="47"/>
      <c r="AM78" s="23"/>
      <c r="AN78" s="27"/>
    </row>
    <row r="79" spans="1:95" ht="15.75" thickBot="1" x14ac:dyDescent="0.25">
      <c r="B79" s="244"/>
      <c r="C79" s="244"/>
      <c r="D79" s="252"/>
      <c r="E79" s="6"/>
      <c r="F79" s="7"/>
      <c r="G79" s="7"/>
      <c r="H79" s="7"/>
      <c r="I79" s="11"/>
      <c r="J79" s="11"/>
      <c r="K79" s="7"/>
      <c r="L79" s="7"/>
      <c r="M79" s="89" t="str">
        <f>(E140)</f>
        <v>VA Individual Appointments</v>
      </c>
      <c r="N79" s="7"/>
      <c r="O79" s="7"/>
      <c r="P79" s="11"/>
      <c r="Q79" s="11"/>
      <c r="R79" s="7"/>
      <c r="S79" s="7"/>
      <c r="T79" s="7"/>
      <c r="U79" s="7"/>
      <c r="V79" s="7"/>
      <c r="W79" s="11"/>
      <c r="X79" s="11"/>
      <c r="Y79" s="7"/>
      <c r="Z79" s="7"/>
      <c r="AA79" s="7"/>
      <c r="AB79" s="22" t="s">
        <v>3</v>
      </c>
      <c r="AC79" s="22" t="s">
        <v>3</v>
      </c>
      <c r="AD79" s="11"/>
      <c r="AE79" s="11"/>
      <c r="AF79" s="7"/>
      <c r="AG79" s="7"/>
      <c r="AH79" s="7"/>
      <c r="AI79" s="22" t="s">
        <v>3</v>
      </c>
      <c r="AK79" s="128"/>
      <c r="AL79" s="47"/>
      <c r="AM79" s="26"/>
      <c r="AN79" s="29">
        <v>0</v>
      </c>
    </row>
    <row r="80" spans="1:95" ht="15.75" thickBot="1" x14ac:dyDescent="0.25">
      <c r="B80" s="244"/>
      <c r="C80" s="244"/>
      <c r="D80" s="181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K80" s="128"/>
      <c r="AL80" s="47"/>
      <c r="AM80" s="23"/>
      <c r="AN80" s="28"/>
    </row>
    <row r="81" spans="2:40" ht="24.75" x14ac:dyDescent="0.35">
      <c r="B81" s="244"/>
      <c r="C81" s="244"/>
      <c r="D81" s="252">
        <v>3</v>
      </c>
      <c r="E81" s="194">
        <v>46388</v>
      </c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6"/>
      <c r="AJ81" s="140"/>
      <c r="AK81" s="128" t="s">
        <v>59</v>
      </c>
      <c r="AL81" s="47">
        <f>SUM(AL75+2.5-AN79)</f>
        <v>49.5</v>
      </c>
      <c r="AM81" s="23"/>
      <c r="AN81" s="24"/>
    </row>
    <row r="82" spans="2:40" x14ac:dyDescent="0.2">
      <c r="B82" s="244"/>
      <c r="C82" s="244"/>
      <c r="D82" s="252"/>
      <c r="E82" s="4">
        <v>1</v>
      </c>
      <c r="F82" s="10">
        <v>2</v>
      </c>
      <c r="G82" s="10">
        <v>3</v>
      </c>
      <c r="H82" s="1">
        <v>4</v>
      </c>
      <c r="I82" s="1">
        <v>5</v>
      </c>
      <c r="J82" s="1">
        <v>6</v>
      </c>
      <c r="K82" s="1">
        <v>7</v>
      </c>
      <c r="L82" s="1">
        <v>8</v>
      </c>
      <c r="M82" s="10">
        <v>9</v>
      </c>
      <c r="N82" s="10">
        <v>10</v>
      </c>
      <c r="O82" s="1">
        <v>11</v>
      </c>
      <c r="P82" s="1">
        <v>12</v>
      </c>
      <c r="Q82" s="1">
        <v>13</v>
      </c>
      <c r="R82" s="1">
        <v>14</v>
      </c>
      <c r="S82" s="1">
        <v>15</v>
      </c>
      <c r="T82" s="10">
        <v>16</v>
      </c>
      <c r="U82" s="10">
        <v>17</v>
      </c>
      <c r="V82" s="1">
        <v>18</v>
      </c>
      <c r="W82" s="1">
        <v>19</v>
      </c>
      <c r="X82" s="1">
        <v>20</v>
      </c>
      <c r="Y82" s="1">
        <v>21</v>
      </c>
      <c r="Z82" s="1">
        <v>22</v>
      </c>
      <c r="AA82" s="10">
        <v>23</v>
      </c>
      <c r="AB82" s="10">
        <v>24</v>
      </c>
      <c r="AC82" s="1">
        <v>25</v>
      </c>
      <c r="AD82" s="1">
        <v>26</v>
      </c>
      <c r="AE82" s="1">
        <v>27</v>
      </c>
      <c r="AF82" s="1">
        <v>28</v>
      </c>
      <c r="AG82" s="1">
        <v>29</v>
      </c>
      <c r="AH82" s="10">
        <v>30</v>
      </c>
      <c r="AI82" s="40">
        <v>31</v>
      </c>
      <c r="AJ82" s="118" t="s">
        <v>86</v>
      </c>
      <c r="AK82" s="128"/>
      <c r="AL82" s="47"/>
      <c r="AM82" s="23"/>
      <c r="AN82" s="24"/>
    </row>
    <row r="83" spans="2:40" ht="24.75" x14ac:dyDescent="0.35">
      <c r="B83" s="244"/>
      <c r="C83" s="244"/>
      <c r="D83" s="252"/>
      <c r="E83" s="206" t="s">
        <v>193</v>
      </c>
      <c r="F83" s="207"/>
      <c r="G83" s="207"/>
      <c r="H83" s="318" t="s">
        <v>49</v>
      </c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9"/>
      <c r="AJ83" s="140">
        <f>SUM(AJ55:AJ82)</f>
        <v>36</v>
      </c>
      <c r="AK83" s="128"/>
      <c r="AL83" s="47"/>
      <c r="AM83" s="23"/>
      <c r="AN83" s="24"/>
    </row>
    <row r="84" spans="2:40" ht="25.5" thickBot="1" x14ac:dyDescent="0.4">
      <c r="B84" s="244"/>
      <c r="C84" s="244"/>
      <c r="D84" s="252"/>
      <c r="E84" s="4"/>
      <c r="F84" s="10"/>
      <c r="G84" s="10"/>
      <c r="H84" s="1"/>
      <c r="I84" s="1"/>
      <c r="J84" s="1"/>
      <c r="K84" s="1"/>
      <c r="L84" s="1"/>
      <c r="M84" s="10"/>
      <c r="N84" s="10"/>
      <c r="O84" s="1"/>
      <c r="P84" s="1"/>
      <c r="Q84" s="1"/>
      <c r="R84" s="1"/>
      <c r="S84" s="1"/>
      <c r="T84" s="10"/>
      <c r="U84" s="10"/>
      <c r="V84" s="1"/>
      <c r="W84" s="1"/>
      <c r="X84" s="1"/>
      <c r="Y84" s="1"/>
      <c r="Z84" s="1"/>
      <c r="AA84" s="10"/>
      <c r="AB84" s="10"/>
      <c r="AC84" s="1"/>
      <c r="AD84" s="1"/>
      <c r="AE84" s="1"/>
      <c r="AF84" s="1"/>
      <c r="AG84" s="1"/>
      <c r="AH84" s="10"/>
      <c r="AI84" s="40"/>
      <c r="AJ84" s="140"/>
      <c r="AK84" s="128"/>
      <c r="AL84" s="47"/>
      <c r="AM84" s="23"/>
      <c r="AN84" s="27"/>
    </row>
    <row r="85" spans="2:40" ht="15.75" thickBot="1" x14ac:dyDescent="0.25">
      <c r="B85" s="244"/>
      <c r="C85" s="244"/>
      <c r="D85" s="252"/>
      <c r="E85" s="21" t="s">
        <v>2</v>
      </c>
      <c r="F85" s="10"/>
      <c r="G85" s="10"/>
      <c r="H85" s="1"/>
      <c r="I85" s="1"/>
      <c r="J85" s="1"/>
      <c r="K85" s="1"/>
      <c r="L85" s="1"/>
      <c r="M85" s="10"/>
      <c r="N85" s="10"/>
      <c r="O85" s="1"/>
      <c r="P85" s="1"/>
      <c r="Q85" s="1"/>
      <c r="R85" s="1"/>
      <c r="S85" s="1"/>
      <c r="T85" s="10"/>
      <c r="U85" s="10"/>
      <c r="V85" s="141" t="s">
        <v>81</v>
      </c>
      <c r="W85" s="1"/>
      <c r="X85" s="1"/>
      <c r="Y85" s="1"/>
      <c r="Z85" s="1"/>
      <c r="AA85" s="10"/>
      <c r="AB85" s="10"/>
      <c r="AC85" s="1"/>
      <c r="AD85" s="1"/>
      <c r="AE85" s="1"/>
      <c r="AF85" s="1"/>
      <c r="AG85" s="1"/>
      <c r="AH85" s="10"/>
      <c r="AI85" s="40"/>
      <c r="AK85" s="128"/>
      <c r="AL85" s="47"/>
      <c r="AM85" s="26"/>
      <c r="AN85" s="29">
        <v>0</v>
      </c>
    </row>
    <row r="86" spans="2:40" ht="35.25" thickBot="1" x14ac:dyDescent="0.55000000000000004">
      <c r="B86" s="244"/>
      <c r="C86" s="244"/>
      <c r="D86" s="181"/>
      <c r="AJ86" s="53" t="s">
        <v>87</v>
      </c>
      <c r="AK86" s="128"/>
      <c r="AL86" s="47"/>
      <c r="AM86" s="23"/>
      <c r="AN86" s="28"/>
    </row>
    <row r="87" spans="2:40" ht="35.25" thickBot="1" x14ac:dyDescent="0.55000000000000004">
      <c r="B87" s="244"/>
      <c r="C87" s="244"/>
      <c r="D87" s="252">
        <v>4</v>
      </c>
      <c r="E87" s="194">
        <v>46419</v>
      </c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6"/>
      <c r="AJ87" s="53">
        <f>AL117</f>
        <v>0</v>
      </c>
      <c r="AK87" s="128" t="s">
        <v>60</v>
      </c>
      <c r="AL87" s="47">
        <f>SUM(AL81+2.5-AN85)</f>
        <v>52</v>
      </c>
      <c r="AM87" s="23"/>
      <c r="AN87" s="24"/>
    </row>
    <row r="88" spans="2:40" x14ac:dyDescent="0.2">
      <c r="B88" s="244"/>
      <c r="C88" s="244"/>
      <c r="D88" s="252"/>
      <c r="E88" s="4">
        <v>1</v>
      </c>
      <c r="F88" s="1">
        <v>2</v>
      </c>
      <c r="G88" s="1">
        <v>3</v>
      </c>
      <c r="H88" s="1">
        <v>4</v>
      </c>
      <c r="I88" s="1">
        <v>5</v>
      </c>
      <c r="J88" s="38">
        <v>6</v>
      </c>
      <c r="K88" s="38">
        <v>7</v>
      </c>
      <c r="L88" s="1">
        <v>8</v>
      </c>
      <c r="M88" s="1">
        <v>9</v>
      </c>
      <c r="N88" s="1">
        <v>10</v>
      </c>
      <c r="O88" s="1">
        <v>11</v>
      </c>
      <c r="P88" s="1">
        <v>12</v>
      </c>
      <c r="Q88" s="38">
        <v>13</v>
      </c>
      <c r="R88" s="38">
        <v>14</v>
      </c>
      <c r="S88" s="1">
        <v>15</v>
      </c>
      <c r="T88" s="1">
        <v>16</v>
      </c>
      <c r="U88" s="1">
        <v>17</v>
      </c>
      <c r="V88" s="1">
        <v>18</v>
      </c>
      <c r="W88" s="1">
        <v>19</v>
      </c>
      <c r="X88" s="38">
        <v>20</v>
      </c>
      <c r="Y88" s="38">
        <v>21</v>
      </c>
      <c r="Z88" s="1">
        <v>22</v>
      </c>
      <c r="AA88" s="1">
        <v>23</v>
      </c>
      <c r="AB88" s="62">
        <v>24</v>
      </c>
      <c r="AC88" s="62">
        <v>25</v>
      </c>
      <c r="AD88" s="62">
        <v>26</v>
      </c>
      <c r="AE88" s="103">
        <v>27</v>
      </c>
      <c r="AF88" s="103">
        <v>28</v>
      </c>
      <c r="AG88" s="1"/>
      <c r="AH88" s="1"/>
      <c r="AI88" s="5"/>
      <c r="AK88" s="128"/>
      <c r="AL88" s="47"/>
      <c r="AM88" s="23"/>
      <c r="AN88" s="24"/>
    </row>
    <row r="89" spans="2:40" x14ac:dyDescent="0.2">
      <c r="B89" s="244"/>
      <c r="C89" s="244"/>
      <c r="D89" s="252"/>
      <c r="E89" s="267" t="s">
        <v>48</v>
      </c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8"/>
      <c r="AF89" s="269"/>
      <c r="AG89" s="102"/>
      <c r="AH89" s="1"/>
      <c r="AI89" s="5"/>
      <c r="AK89" s="128"/>
      <c r="AL89" s="47"/>
      <c r="AM89" s="23"/>
      <c r="AN89" s="24"/>
    </row>
    <row r="90" spans="2:40" ht="15.75" thickBot="1" x14ac:dyDescent="0.25">
      <c r="B90" s="244"/>
      <c r="C90" s="244"/>
      <c r="D90" s="252"/>
      <c r="E90" s="4"/>
      <c r="F90" s="1"/>
      <c r="G90" s="1"/>
      <c r="H90" s="1"/>
      <c r="I90" s="1"/>
      <c r="J90" s="38"/>
      <c r="K90" s="38"/>
      <c r="L90" s="1"/>
      <c r="M90" s="1"/>
      <c r="N90" s="1"/>
      <c r="O90" s="1"/>
      <c r="P90" s="1"/>
      <c r="Q90" s="38"/>
      <c r="R90" s="38"/>
      <c r="S90" s="1"/>
      <c r="T90" s="1"/>
      <c r="U90" s="1"/>
      <c r="V90" s="1"/>
      <c r="W90" s="1"/>
      <c r="X90" s="38"/>
      <c r="Y90" s="38"/>
      <c r="Z90" s="1"/>
      <c r="AA90" s="1"/>
      <c r="AB90" s="59"/>
      <c r="AC90" s="59"/>
      <c r="AD90" s="59"/>
      <c r="AE90" s="104"/>
      <c r="AF90" s="104"/>
      <c r="AG90" s="1"/>
      <c r="AH90" s="1"/>
      <c r="AI90" s="5"/>
      <c r="AK90" s="128"/>
      <c r="AL90" s="47"/>
      <c r="AM90" s="23"/>
      <c r="AN90" s="27"/>
    </row>
    <row r="91" spans="2:40" ht="15.75" thickBot="1" x14ac:dyDescent="0.25">
      <c r="B91" s="244"/>
      <c r="C91" s="244"/>
      <c r="D91" s="252"/>
      <c r="E91" s="4"/>
      <c r="F91" s="1"/>
      <c r="G91" s="1"/>
      <c r="H91" s="1"/>
      <c r="I91" s="1"/>
      <c r="J91" s="38"/>
      <c r="K91" s="38"/>
      <c r="L91" s="22" t="s">
        <v>9</v>
      </c>
      <c r="M91" s="1"/>
      <c r="N91" s="1"/>
      <c r="O91" s="1"/>
      <c r="P91" s="1"/>
      <c r="Q91" s="38"/>
      <c r="R91" s="38"/>
      <c r="S91" s="141" t="s">
        <v>82</v>
      </c>
      <c r="T91" s="1"/>
      <c r="U91" s="1"/>
      <c r="V91" s="1"/>
      <c r="W91" s="1"/>
      <c r="X91" s="38"/>
      <c r="Y91" s="38"/>
      <c r="Z91" s="1"/>
      <c r="AA91" s="1"/>
      <c r="AB91" s="1"/>
      <c r="AC91" s="1"/>
      <c r="AD91" s="1"/>
      <c r="AE91" s="38"/>
      <c r="AF91" s="38"/>
      <c r="AG91" s="1"/>
      <c r="AH91" s="1"/>
      <c r="AI91" s="5"/>
      <c r="AK91" s="128"/>
      <c r="AL91" s="47"/>
      <c r="AM91" s="26"/>
      <c r="AN91" s="29">
        <v>0</v>
      </c>
    </row>
    <row r="92" spans="2:40" ht="15.75" thickBot="1" x14ac:dyDescent="0.25">
      <c r="B92" s="244"/>
      <c r="C92" s="244"/>
      <c r="D92" s="181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K92" s="128"/>
      <c r="AL92" s="47"/>
      <c r="AM92" s="23"/>
      <c r="AN92" s="28"/>
    </row>
    <row r="93" spans="2:40" x14ac:dyDescent="0.2">
      <c r="B93" s="244"/>
      <c r="C93" s="244"/>
      <c r="D93" s="252">
        <v>5</v>
      </c>
      <c r="E93" s="194">
        <v>46447</v>
      </c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6"/>
      <c r="AK93" s="128" t="s">
        <v>61</v>
      </c>
      <c r="AL93" s="47">
        <f>SUM(AL87+2.5-AN91)</f>
        <v>54.5</v>
      </c>
      <c r="AM93" s="23"/>
      <c r="AN93" s="24"/>
    </row>
    <row r="94" spans="2:40" x14ac:dyDescent="0.2">
      <c r="B94" s="244"/>
      <c r="C94" s="244"/>
      <c r="D94" s="252"/>
      <c r="E94" s="4">
        <v>1</v>
      </c>
      <c r="F94" s="1">
        <v>2</v>
      </c>
      <c r="G94" s="1">
        <v>3</v>
      </c>
      <c r="H94" s="1">
        <v>4</v>
      </c>
      <c r="I94" s="1">
        <v>5</v>
      </c>
      <c r="J94" s="10">
        <v>6</v>
      </c>
      <c r="K94" s="10">
        <v>7</v>
      </c>
      <c r="L94" s="1">
        <v>8</v>
      </c>
      <c r="M94" s="1">
        <v>9</v>
      </c>
      <c r="N94" s="1">
        <v>10</v>
      </c>
      <c r="O94" s="1">
        <v>11</v>
      </c>
      <c r="P94" s="1">
        <v>12</v>
      </c>
      <c r="Q94" s="10">
        <v>13</v>
      </c>
      <c r="R94" s="10">
        <v>14</v>
      </c>
      <c r="S94" s="1">
        <v>15</v>
      </c>
      <c r="T94" s="1">
        <v>16</v>
      </c>
      <c r="U94" s="1">
        <v>17</v>
      </c>
      <c r="V94" s="1">
        <v>18</v>
      </c>
      <c r="W94" s="1">
        <v>19</v>
      </c>
      <c r="X94" s="10">
        <v>20</v>
      </c>
      <c r="Y94" s="10">
        <v>21</v>
      </c>
      <c r="Z94" s="1">
        <v>22</v>
      </c>
      <c r="AA94" s="1">
        <v>23</v>
      </c>
      <c r="AB94" s="1">
        <v>24</v>
      </c>
      <c r="AC94" s="1">
        <v>25</v>
      </c>
      <c r="AD94" s="1">
        <v>26</v>
      </c>
      <c r="AE94" s="10">
        <v>27</v>
      </c>
      <c r="AF94" s="10">
        <v>28</v>
      </c>
      <c r="AG94" s="1">
        <v>29</v>
      </c>
      <c r="AH94" s="1">
        <v>30</v>
      </c>
      <c r="AI94" s="5">
        <v>31</v>
      </c>
      <c r="AK94" s="128"/>
      <c r="AL94" s="47"/>
      <c r="AM94" s="23"/>
      <c r="AN94" s="24"/>
    </row>
    <row r="95" spans="2:40" ht="15.75" thickBot="1" x14ac:dyDescent="0.25">
      <c r="B95" s="244"/>
      <c r="C95" s="244"/>
      <c r="D95" s="252"/>
      <c r="E95" s="274" t="s">
        <v>47</v>
      </c>
      <c r="F95" s="306"/>
      <c r="G95" s="306"/>
      <c r="H95" s="306"/>
      <c r="I95" s="278" t="s">
        <v>45</v>
      </c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  <c r="AC95" s="278"/>
      <c r="AD95" s="278"/>
      <c r="AE95" s="278"/>
      <c r="AF95" s="278"/>
      <c r="AG95" s="278"/>
      <c r="AH95" s="278"/>
      <c r="AI95" s="279"/>
      <c r="AK95" s="128"/>
      <c r="AL95" s="47"/>
      <c r="AM95" s="23"/>
      <c r="AN95" s="24"/>
    </row>
    <row r="96" spans="2:40" ht="15.75" thickBot="1" x14ac:dyDescent="0.25">
      <c r="B96" s="244"/>
      <c r="C96" s="244"/>
      <c r="D96" s="252"/>
      <c r="E96" s="4"/>
      <c r="F96" s="1"/>
      <c r="G96" s="1"/>
      <c r="H96" s="1"/>
      <c r="I96" s="1"/>
      <c r="J96" s="10"/>
      <c r="K96" s="10"/>
      <c r="L96" s="1"/>
      <c r="M96" s="1"/>
      <c r="N96" s="1"/>
      <c r="O96" s="1"/>
      <c r="P96" s="1"/>
      <c r="Q96" s="10"/>
      <c r="R96" s="10"/>
      <c r="S96" s="1"/>
      <c r="T96" s="1"/>
      <c r="U96" s="1"/>
      <c r="V96" s="1"/>
      <c r="W96" s="1"/>
      <c r="X96" s="10"/>
      <c r="Y96" s="10"/>
      <c r="Z96" s="1"/>
      <c r="AA96" s="1"/>
      <c r="AB96" s="1"/>
      <c r="AC96" s="1"/>
      <c r="AD96" s="1"/>
      <c r="AE96" s="10"/>
      <c r="AF96" s="10"/>
      <c r="AG96" s="1"/>
      <c r="AH96" s="1"/>
      <c r="AI96" s="5"/>
      <c r="AK96" s="128"/>
      <c r="AL96" s="47"/>
      <c r="AM96" s="23"/>
      <c r="AN96" s="27"/>
    </row>
    <row r="97" spans="2:40" ht="15.75" thickBot="1" x14ac:dyDescent="0.25">
      <c r="B97" s="244"/>
      <c r="C97" s="244"/>
      <c r="D97" s="252"/>
      <c r="E97" s="4"/>
      <c r="F97" s="1"/>
      <c r="G97" s="1"/>
      <c r="H97" s="1"/>
      <c r="I97" s="1"/>
      <c r="J97" s="10"/>
      <c r="K97" s="10"/>
      <c r="L97" s="1"/>
      <c r="M97" s="1"/>
      <c r="N97" s="1"/>
      <c r="O97" s="1"/>
      <c r="P97" s="1"/>
      <c r="Q97" s="10"/>
      <c r="R97" s="10"/>
      <c r="S97" s="1"/>
      <c r="T97" s="1"/>
      <c r="U97" s="1"/>
      <c r="V97" s="1"/>
      <c r="W97" s="1"/>
      <c r="X97" s="10"/>
      <c r="Y97" s="10"/>
      <c r="Z97" s="1"/>
      <c r="AA97" s="1"/>
      <c r="AB97" s="1"/>
      <c r="AC97" s="1"/>
      <c r="AD97" s="1"/>
      <c r="AE97" s="10"/>
      <c r="AF97" s="10"/>
      <c r="AG97" s="1"/>
      <c r="AH97" s="1"/>
      <c r="AI97" s="5"/>
      <c r="AK97" s="128"/>
      <c r="AL97" s="47"/>
      <c r="AM97" s="26"/>
      <c r="AN97" s="29">
        <v>27</v>
      </c>
    </row>
    <row r="98" spans="2:40" ht="15.75" thickBot="1" x14ac:dyDescent="0.25">
      <c r="B98" s="244"/>
      <c r="C98" s="244"/>
      <c r="D98" s="181"/>
      <c r="AK98" s="128"/>
      <c r="AL98" s="47"/>
      <c r="AM98" s="23"/>
      <c r="AN98" s="28"/>
    </row>
    <row r="99" spans="2:40" x14ac:dyDescent="0.2">
      <c r="B99" s="244"/>
      <c r="C99" s="244"/>
      <c r="D99" s="252">
        <v>6</v>
      </c>
      <c r="E99" s="194">
        <v>46478</v>
      </c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6"/>
      <c r="AK99" s="128" t="s">
        <v>62</v>
      </c>
      <c r="AL99" s="47">
        <f>SUM(AL93+2.5-AN97)</f>
        <v>30</v>
      </c>
      <c r="AM99" s="23"/>
      <c r="AN99" s="24"/>
    </row>
    <row r="100" spans="2:40" x14ac:dyDescent="0.2">
      <c r="B100" s="244"/>
      <c r="C100" s="244"/>
      <c r="D100" s="252"/>
      <c r="E100" s="4">
        <v>1</v>
      </c>
      <c r="F100" s="1">
        <v>2</v>
      </c>
      <c r="G100" s="10">
        <v>3</v>
      </c>
      <c r="H100" s="10">
        <v>4</v>
      </c>
      <c r="I100" s="1">
        <v>5</v>
      </c>
      <c r="J100" s="1">
        <v>6</v>
      </c>
      <c r="K100" s="1">
        <v>7</v>
      </c>
      <c r="L100" s="1">
        <v>8</v>
      </c>
      <c r="M100" s="1">
        <v>9</v>
      </c>
      <c r="N100" s="10">
        <v>10</v>
      </c>
      <c r="O100" s="10">
        <v>11</v>
      </c>
      <c r="P100" s="1">
        <v>12</v>
      </c>
      <c r="Q100" s="1">
        <v>13</v>
      </c>
      <c r="R100" s="1">
        <v>14</v>
      </c>
      <c r="S100" s="1">
        <v>15</v>
      </c>
      <c r="T100" s="1">
        <v>16</v>
      </c>
      <c r="U100" s="10">
        <v>17</v>
      </c>
      <c r="V100" s="10">
        <v>18</v>
      </c>
      <c r="W100" s="1">
        <v>19</v>
      </c>
      <c r="X100" s="1">
        <v>20</v>
      </c>
      <c r="Y100" s="1">
        <v>21</v>
      </c>
      <c r="Z100" s="1">
        <v>22</v>
      </c>
      <c r="AA100" s="1">
        <v>23</v>
      </c>
      <c r="AB100" s="10">
        <v>24</v>
      </c>
      <c r="AC100" s="10">
        <v>25</v>
      </c>
      <c r="AD100" s="1">
        <v>26</v>
      </c>
      <c r="AE100" s="1">
        <v>27</v>
      </c>
      <c r="AF100" s="1">
        <v>28</v>
      </c>
      <c r="AG100" s="1">
        <v>29</v>
      </c>
      <c r="AH100" s="1">
        <v>30</v>
      </c>
      <c r="AI100" s="5"/>
      <c r="AK100" s="128"/>
      <c r="AL100" s="47"/>
      <c r="AM100" s="23"/>
      <c r="AN100" s="24"/>
    </row>
    <row r="101" spans="2:40" ht="15.75" thickBot="1" x14ac:dyDescent="0.25">
      <c r="B101" s="244"/>
      <c r="C101" s="244"/>
      <c r="D101" s="252"/>
      <c r="E101" s="277" t="s">
        <v>46</v>
      </c>
      <c r="F101" s="278"/>
      <c r="G101" s="278"/>
      <c r="H101" s="278"/>
      <c r="I101" s="278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278"/>
      <c r="AH101" s="278"/>
      <c r="AI101" s="65"/>
      <c r="AK101" s="128"/>
      <c r="AL101" s="47"/>
      <c r="AM101" s="23"/>
      <c r="AN101" s="24"/>
    </row>
    <row r="102" spans="2:40" ht="15.75" thickBot="1" x14ac:dyDescent="0.25">
      <c r="B102" s="244"/>
      <c r="C102" s="244"/>
      <c r="D102" s="252"/>
      <c r="E102" s="4"/>
      <c r="F102" s="1"/>
      <c r="G102" s="10"/>
      <c r="H102" s="10"/>
      <c r="I102" s="1"/>
      <c r="J102" s="1"/>
      <c r="K102" s="1"/>
      <c r="L102" s="1"/>
      <c r="M102" s="1"/>
      <c r="N102" s="10"/>
      <c r="O102" s="10"/>
      <c r="P102" s="1"/>
      <c r="Q102" s="1"/>
      <c r="R102" s="1"/>
      <c r="S102" s="1"/>
      <c r="T102" s="1"/>
      <c r="U102" s="10"/>
      <c r="V102" s="10"/>
      <c r="W102" s="1"/>
      <c r="X102" s="1"/>
      <c r="Y102" s="1"/>
      <c r="Z102" s="1"/>
      <c r="AA102" s="1"/>
      <c r="AB102" s="10"/>
      <c r="AC102" s="10"/>
      <c r="AD102" s="1"/>
      <c r="AE102" s="1"/>
      <c r="AF102" s="1"/>
      <c r="AG102" s="1"/>
      <c r="AH102" s="1"/>
      <c r="AI102" s="5"/>
      <c r="AK102" s="128"/>
      <c r="AL102" s="47"/>
      <c r="AM102" s="23"/>
      <c r="AN102" s="27"/>
    </row>
    <row r="103" spans="2:40" ht="15.75" thickBot="1" x14ac:dyDescent="0.25">
      <c r="B103" s="244"/>
      <c r="C103" s="244"/>
      <c r="D103" s="252"/>
      <c r="E103" s="4"/>
      <c r="F103" s="1"/>
      <c r="G103" s="10"/>
      <c r="H103" s="10"/>
      <c r="I103" s="1"/>
      <c r="J103" s="1"/>
      <c r="K103" s="1"/>
      <c r="L103" s="1"/>
      <c r="M103" s="1"/>
      <c r="N103" s="10"/>
      <c r="O103" s="10"/>
      <c r="P103" s="1"/>
      <c r="Q103" s="1"/>
      <c r="R103" s="1"/>
      <c r="S103" s="1"/>
      <c r="T103" s="1"/>
      <c r="U103" s="10"/>
      <c r="V103" s="10"/>
      <c r="W103" s="1"/>
      <c r="X103" s="1"/>
      <c r="Y103" s="1"/>
      <c r="Z103" s="1"/>
      <c r="AA103" s="1"/>
      <c r="AB103" s="10"/>
      <c r="AC103" s="10"/>
      <c r="AD103" s="1"/>
      <c r="AE103" s="1"/>
      <c r="AF103" s="1"/>
      <c r="AG103" s="1"/>
      <c r="AH103" s="1"/>
      <c r="AI103" s="5"/>
      <c r="AK103" s="128"/>
      <c r="AL103" s="47"/>
      <c r="AM103" s="26"/>
      <c r="AN103" s="29">
        <v>30</v>
      </c>
    </row>
    <row r="104" spans="2:40" ht="15.75" thickBot="1" x14ac:dyDescent="0.25">
      <c r="B104" s="244"/>
      <c r="C104" s="244"/>
      <c r="D104" s="181"/>
      <c r="AK104" s="128"/>
      <c r="AL104" s="47"/>
      <c r="AM104" s="23"/>
      <c r="AN104" s="28"/>
    </row>
    <row r="105" spans="2:40" x14ac:dyDescent="0.2">
      <c r="B105" s="244"/>
      <c r="C105" s="244"/>
      <c r="D105" s="181"/>
      <c r="E105" s="194">
        <v>46508</v>
      </c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6"/>
      <c r="AK105" s="128" t="s">
        <v>51</v>
      </c>
      <c r="AL105" s="47">
        <f>SUM(AL99-AN103)</f>
        <v>0</v>
      </c>
      <c r="AM105" s="23"/>
      <c r="AN105" s="24"/>
    </row>
    <row r="106" spans="2:40" x14ac:dyDescent="0.2">
      <c r="B106" s="244"/>
      <c r="C106" s="244"/>
      <c r="D106" s="181"/>
      <c r="E106" s="12">
        <v>1</v>
      </c>
      <c r="F106" s="10">
        <v>2</v>
      </c>
      <c r="G106" s="1">
        <v>3</v>
      </c>
      <c r="H106" s="1">
        <v>4</v>
      </c>
      <c r="I106" s="1">
        <v>5</v>
      </c>
      <c r="J106" s="1">
        <v>6</v>
      </c>
      <c r="K106" s="1">
        <v>7</v>
      </c>
      <c r="L106" s="10">
        <v>8</v>
      </c>
      <c r="M106" s="10">
        <v>9</v>
      </c>
      <c r="N106" s="1">
        <v>10</v>
      </c>
      <c r="O106" s="1">
        <v>11</v>
      </c>
      <c r="P106" s="1">
        <v>12</v>
      </c>
      <c r="Q106" s="1">
        <v>13</v>
      </c>
      <c r="R106" s="1">
        <v>14</v>
      </c>
      <c r="S106" s="10">
        <v>15</v>
      </c>
      <c r="T106" s="10">
        <v>16</v>
      </c>
      <c r="U106" s="1">
        <v>17</v>
      </c>
      <c r="V106" s="1">
        <v>18</v>
      </c>
      <c r="W106" s="1">
        <v>19</v>
      </c>
      <c r="X106" s="1">
        <v>20</v>
      </c>
      <c r="Y106" s="1">
        <v>21</v>
      </c>
      <c r="Z106" s="10">
        <v>22</v>
      </c>
      <c r="AA106" s="10">
        <v>23</v>
      </c>
      <c r="AB106" s="1">
        <v>24</v>
      </c>
      <c r="AC106" s="1">
        <v>25</v>
      </c>
      <c r="AD106" s="1">
        <v>26</v>
      </c>
      <c r="AE106" s="1">
        <v>27</v>
      </c>
      <c r="AF106" s="1">
        <v>28</v>
      </c>
      <c r="AG106" s="10">
        <v>29</v>
      </c>
      <c r="AH106" s="10">
        <v>30</v>
      </c>
      <c r="AI106" s="5">
        <v>31</v>
      </c>
      <c r="AK106" s="128"/>
      <c r="AL106" s="47"/>
      <c r="AM106" s="23"/>
      <c r="AN106" s="24"/>
    </row>
    <row r="107" spans="2:40" x14ac:dyDescent="0.2">
      <c r="B107" s="244"/>
      <c r="C107" s="244"/>
      <c r="D107" s="181"/>
      <c r="E107" s="51" t="s">
        <v>30</v>
      </c>
      <c r="F107" s="10"/>
      <c r="G107" s="1"/>
      <c r="H107" s="1"/>
      <c r="I107" s="1"/>
      <c r="J107" s="1"/>
      <c r="K107" s="1"/>
      <c r="L107" s="10"/>
      <c r="M107" s="10"/>
      <c r="N107" s="1"/>
      <c r="O107" s="1"/>
      <c r="P107" s="1"/>
      <c r="Q107" s="1"/>
      <c r="R107" s="1"/>
      <c r="S107" s="10"/>
      <c r="T107" s="10"/>
      <c r="U107" s="1"/>
      <c r="V107" s="1"/>
      <c r="W107" s="1"/>
      <c r="X107" s="1"/>
      <c r="Y107" s="1"/>
      <c r="Z107" s="10"/>
      <c r="AA107" s="10"/>
      <c r="AB107" s="1"/>
      <c r="AC107" s="1"/>
      <c r="AD107" s="1"/>
      <c r="AE107" s="1"/>
      <c r="AF107" s="1"/>
      <c r="AG107" s="10"/>
      <c r="AH107" s="10"/>
      <c r="AI107" s="5"/>
      <c r="AK107" s="128"/>
      <c r="AL107" s="47"/>
      <c r="AM107" s="23"/>
      <c r="AN107" s="24"/>
    </row>
    <row r="108" spans="2:40" ht="15.75" thickBot="1" x14ac:dyDescent="0.25">
      <c r="B108" s="244"/>
      <c r="C108" s="244"/>
      <c r="D108" s="181"/>
      <c r="E108" s="51"/>
      <c r="F108" s="10"/>
      <c r="G108" s="1"/>
      <c r="H108" s="1"/>
      <c r="I108" s="1"/>
      <c r="J108" s="1"/>
      <c r="K108" s="1"/>
      <c r="L108" s="10"/>
      <c r="M108" s="10"/>
      <c r="N108" s="1"/>
      <c r="O108" s="1"/>
      <c r="P108" s="1"/>
      <c r="Q108" s="1"/>
      <c r="R108" s="1"/>
      <c r="S108" s="10"/>
      <c r="T108" s="10"/>
      <c r="U108" s="1"/>
      <c r="V108" s="1"/>
      <c r="W108" s="1"/>
      <c r="X108" s="1"/>
      <c r="Y108" s="1"/>
      <c r="Z108" s="10"/>
      <c r="AA108" s="10"/>
      <c r="AB108" s="1"/>
      <c r="AC108" s="1"/>
      <c r="AD108" s="1"/>
      <c r="AE108" s="1"/>
      <c r="AF108" s="1"/>
      <c r="AG108" s="10"/>
      <c r="AH108" s="10"/>
      <c r="AI108" s="5"/>
      <c r="AK108" s="128"/>
      <c r="AL108" s="47"/>
      <c r="AM108" s="23"/>
      <c r="AN108" s="27"/>
    </row>
    <row r="109" spans="2:40" ht="15.75" thickBot="1" x14ac:dyDescent="0.25">
      <c r="B109" s="244"/>
      <c r="C109" s="244"/>
      <c r="D109" s="181"/>
      <c r="E109" s="51"/>
      <c r="F109" s="10"/>
      <c r="G109" s="1"/>
      <c r="H109" s="1"/>
      <c r="I109" s="1"/>
      <c r="J109" s="1"/>
      <c r="K109" s="1"/>
      <c r="L109" s="10"/>
      <c r="M109" s="10"/>
      <c r="N109" s="1"/>
      <c r="O109" s="1"/>
      <c r="P109" s="1"/>
      <c r="Q109" s="1"/>
      <c r="R109" s="1"/>
      <c r="S109" s="10"/>
      <c r="T109" s="10"/>
      <c r="U109" s="1"/>
      <c r="V109" s="1"/>
      <c r="W109" s="1"/>
      <c r="X109" s="1"/>
      <c r="Y109" s="1"/>
      <c r="Z109" s="10"/>
      <c r="AA109" s="10"/>
      <c r="AB109" s="1"/>
      <c r="AC109" s="1"/>
      <c r="AD109" s="1"/>
      <c r="AE109" s="1"/>
      <c r="AF109" s="1"/>
      <c r="AG109" s="10"/>
      <c r="AH109" s="10"/>
      <c r="AI109" s="5"/>
      <c r="AK109" s="128"/>
      <c r="AL109" s="47"/>
      <c r="AM109" s="26"/>
      <c r="AN109" s="29">
        <v>0</v>
      </c>
    </row>
    <row r="110" spans="2:40" ht="15.75" thickBot="1" x14ac:dyDescent="0.25">
      <c r="B110" s="244"/>
      <c r="C110" s="244"/>
      <c r="D110" s="181"/>
      <c r="AK110" s="128"/>
      <c r="AL110" s="47"/>
      <c r="AM110" s="23"/>
      <c r="AN110" s="28"/>
    </row>
    <row r="111" spans="2:40" x14ac:dyDescent="0.2">
      <c r="B111" s="244"/>
      <c r="C111" s="244"/>
      <c r="D111" s="181"/>
      <c r="E111" s="194">
        <v>46539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6"/>
      <c r="AK111" s="128" t="s">
        <v>52</v>
      </c>
      <c r="AL111" s="47">
        <f>SUM(AL105-AN109)</f>
        <v>0</v>
      </c>
      <c r="AM111" s="23"/>
      <c r="AN111" s="24"/>
    </row>
    <row r="112" spans="2:40" x14ac:dyDescent="0.2">
      <c r="B112" s="244"/>
      <c r="C112" s="244"/>
      <c r="D112" s="181"/>
      <c r="E112" s="4">
        <v>1</v>
      </c>
      <c r="F112" s="1">
        <v>2</v>
      </c>
      <c r="G112" s="1">
        <v>3</v>
      </c>
      <c r="H112" s="1">
        <v>4</v>
      </c>
      <c r="I112" s="10">
        <v>5</v>
      </c>
      <c r="J112" s="10">
        <v>6</v>
      </c>
      <c r="K112" s="1">
        <v>7</v>
      </c>
      <c r="L112" s="1">
        <v>8</v>
      </c>
      <c r="M112" s="1">
        <v>9</v>
      </c>
      <c r="N112" s="1">
        <v>10</v>
      </c>
      <c r="O112" s="1">
        <v>11</v>
      </c>
      <c r="P112" s="10">
        <v>12</v>
      </c>
      <c r="Q112" s="10">
        <v>13</v>
      </c>
      <c r="R112" s="1">
        <v>14</v>
      </c>
      <c r="S112" s="1">
        <v>15</v>
      </c>
      <c r="T112" s="1">
        <v>16</v>
      </c>
      <c r="U112" s="1">
        <v>17</v>
      </c>
      <c r="V112" s="1">
        <v>18</v>
      </c>
      <c r="W112" s="10">
        <v>19</v>
      </c>
      <c r="X112" s="10">
        <v>20</v>
      </c>
      <c r="Y112" s="1">
        <v>21</v>
      </c>
      <c r="Z112" s="1">
        <v>22</v>
      </c>
      <c r="AA112" s="1">
        <v>23</v>
      </c>
      <c r="AB112" s="1">
        <v>24</v>
      </c>
      <c r="AC112" s="1">
        <v>25</v>
      </c>
      <c r="AD112" s="10">
        <v>26</v>
      </c>
      <c r="AE112" s="10">
        <v>27</v>
      </c>
      <c r="AF112" s="1">
        <v>28</v>
      </c>
      <c r="AG112" s="1">
        <v>29</v>
      </c>
      <c r="AH112" s="1">
        <v>30</v>
      </c>
      <c r="AI112" s="5"/>
      <c r="AK112" s="128"/>
      <c r="AL112" s="47"/>
      <c r="AM112" s="23"/>
      <c r="AN112" s="24"/>
    </row>
    <row r="113" spans="2:40" x14ac:dyDescent="0.2">
      <c r="B113" s="244"/>
      <c r="C113" s="244"/>
      <c r="D113" s="181"/>
      <c r="E113" s="52"/>
      <c r="F113" s="1"/>
      <c r="G113" s="1"/>
      <c r="H113" s="1"/>
      <c r="I113" s="10"/>
      <c r="J113" s="10"/>
      <c r="K113" s="1"/>
      <c r="L113" s="1"/>
      <c r="M113" s="1"/>
      <c r="N113" s="1"/>
      <c r="O113" s="1"/>
      <c r="P113" s="10"/>
      <c r="Q113" s="10"/>
      <c r="R113" s="1"/>
      <c r="S113" s="1"/>
      <c r="T113" s="1"/>
      <c r="U113" s="1"/>
      <c r="V113" s="1"/>
      <c r="W113" s="10"/>
      <c r="X113" s="10"/>
      <c r="Y113" s="1"/>
      <c r="Z113" s="1"/>
      <c r="AA113" s="1"/>
      <c r="AB113" s="1"/>
      <c r="AC113" s="1"/>
      <c r="AD113" s="10"/>
      <c r="AE113" s="10"/>
      <c r="AF113" s="1"/>
      <c r="AG113" s="1"/>
      <c r="AH113" s="1"/>
      <c r="AI113" s="5"/>
      <c r="AK113" s="128"/>
      <c r="AL113" s="47"/>
      <c r="AM113" s="23"/>
      <c r="AN113" s="24"/>
    </row>
    <row r="114" spans="2:40" ht="15.75" thickBot="1" x14ac:dyDescent="0.25">
      <c r="B114" s="244"/>
      <c r="C114" s="244"/>
      <c r="D114" s="181"/>
      <c r="E114" s="52"/>
      <c r="F114" s="1"/>
      <c r="G114" s="1"/>
      <c r="H114" s="1"/>
      <c r="I114" s="10"/>
      <c r="J114" s="10"/>
      <c r="K114" s="1"/>
      <c r="L114" s="1"/>
      <c r="M114" s="1"/>
      <c r="N114" s="1"/>
      <c r="O114" s="1"/>
      <c r="P114" s="10"/>
      <c r="Q114" s="10"/>
      <c r="R114" s="1"/>
      <c r="S114" s="1"/>
      <c r="T114" s="1"/>
      <c r="U114" s="1"/>
      <c r="V114" s="1"/>
      <c r="W114" s="10"/>
      <c r="X114" s="10"/>
      <c r="Y114" s="1"/>
      <c r="Z114" s="1"/>
      <c r="AA114" s="1"/>
      <c r="AB114" s="1"/>
      <c r="AC114" s="1"/>
      <c r="AD114" s="10"/>
      <c r="AE114" s="10"/>
      <c r="AF114" s="1"/>
      <c r="AG114" s="1"/>
      <c r="AH114" s="1"/>
      <c r="AI114" s="5"/>
      <c r="AK114" s="128"/>
      <c r="AL114" s="47"/>
      <c r="AM114" s="23"/>
      <c r="AN114" s="27"/>
    </row>
    <row r="115" spans="2:40" ht="15.75" thickBot="1" x14ac:dyDescent="0.25">
      <c r="B115" s="244"/>
      <c r="C115" s="244"/>
      <c r="D115" s="181"/>
      <c r="E115" s="52"/>
      <c r="F115" s="1"/>
      <c r="G115" s="1"/>
      <c r="H115" s="1"/>
      <c r="I115" s="10"/>
      <c r="J115" s="10"/>
      <c r="K115" s="1"/>
      <c r="L115" s="1"/>
      <c r="M115" s="1"/>
      <c r="N115" s="1"/>
      <c r="O115" s="1"/>
      <c r="P115" s="10"/>
      <c r="Q115" s="10"/>
      <c r="R115" s="1"/>
      <c r="S115" s="1"/>
      <c r="T115" s="1"/>
      <c r="U115" s="1"/>
      <c r="V115" s="1"/>
      <c r="W115" s="10"/>
      <c r="X115" s="10"/>
      <c r="Y115" s="1"/>
      <c r="Z115" s="1"/>
      <c r="AA115" s="1"/>
      <c r="AB115" s="1"/>
      <c r="AC115" s="1"/>
      <c r="AD115" s="10"/>
      <c r="AE115" s="10"/>
      <c r="AF115" s="1"/>
      <c r="AG115" s="1"/>
      <c r="AH115" s="1"/>
      <c r="AI115" s="5"/>
      <c r="AK115" s="128"/>
      <c r="AL115" s="48"/>
      <c r="AM115" s="26"/>
      <c r="AN115" s="29">
        <v>0</v>
      </c>
    </row>
    <row r="116" spans="2:40" ht="35.25" thickBot="1" x14ac:dyDescent="0.55000000000000004">
      <c r="AJ116" s="55"/>
      <c r="AK116" s="55"/>
      <c r="AL116" s="54" t="s">
        <v>11</v>
      </c>
      <c r="AM116" s="119"/>
      <c r="AN116" s="28"/>
    </row>
    <row r="117" spans="2:40" ht="35.25" thickBot="1" x14ac:dyDescent="0.55000000000000004">
      <c r="E117" s="194">
        <v>46569</v>
      </c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6"/>
      <c r="AJ117" s="55"/>
      <c r="AK117" s="55" t="s">
        <v>53</v>
      </c>
      <c r="AL117" s="53">
        <f>SUM(AL111-AN115)</f>
        <v>0</v>
      </c>
      <c r="AM117" s="119"/>
      <c r="AN117" s="24"/>
    </row>
    <row r="118" spans="2:40" x14ac:dyDescent="0.2">
      <c r="E118" s="16">
        <v>1</v>
      </c>
      <c r="F118" s="1">
        <v>2</v>
      </c>
      <c r="G118" s="10">
        <v>3</v>
      </c>
      <c r="H118" s="10">
        <v>4</v>
      </c>
      <c r="I118" s="1">
        <v>5</v>
      </c>
      <c r="J118" s="1">
        <v>6</v>
      </c>
      <c r="K118" s="1">
        <v>7</v>
      </c>
      <c r="L118" s="1">
        <v>8</v>
      </c>
      <c r="M118" s="1">
        <v>9</v>
      </c>
      <c r="N118" s="10">
        <v>10</v>
      </c>
      <c r="O118" s="10">
        <v>11</v>
      </c>
      <c r="P118" s="1">
        <v>12</v>
      </c>
      <c r="Q118" s="1">
        <v>13</v>
      </c>
      <c r="R118" s="1">
        <v>14</v>
      </c>
      <c r="S118" s="1">
        <v>15</v>
      </c>
      <c r="T118" s="1">
        <v>16</v>
      </c>
      <c r="U118" s="10">
        <v>17</v>
      </c>
      <c r="V118" s="10">
        <v>18</v>
      </c>
      <c r="W118" s="1">
        <v>19</v>
      </c>
      <c r="X118" s="1">
        <v>20</v>
      </c>
      <c r="Y118" s="1">
        <v>21</v>
      </c>
      <c r="Z118" s="1">
        <v>22</v>
      </c>
      <c r="AA118" s="1">
        <v>23</v>
      </c>
      <c r="AB118" s="10">
        <v>24</v>
      </c>
      <c r="AC118" s="10">
        <v>25</v>
      </c>
      <c r="AD118" s="1">
        <v>26</v>
      </c>
      <c r="AE118" s="1">
        <v>27</v>
      </c>
      <c r="AF118" s="1">
        <v>28</v>
      </c>
      <c r="AG118" s="1">
        <v>29</v>
      </c>
      <c r="AH118" s="1">
        <v>30</v>
      </c>
      <c r="AI118" s="14">
        <v>31</v>
      </c>
      <c r="AL118" s="49"/>
      <c r="AM118" s="23"/>
      <c r="AN118" s="24"/>
    </row>
    <row r="119" spans="2:40" x14ac:dyDescent="0.2">
      <c r="E119" s="20" t="s">
        <v>1</v>
      </c>
      <c r="F119" s="1"/>
      <c r="G119" s="10"/>
      <c r="H119" s="10"/>
      <c r="I119" s="1"/>
      <c r="J119" s="1"/>
      <c r="K119" s="1"/>
      <c r="L119" s="1"/>
      <c r="M119" s="1"/>
      <c r="N119" s="10"/>
      <c r="O119" s="10"/>
      <c r="P119" s="1"/>
      <c r="Q119" s="1"/>
      <c r="R119" s="1"/>
      <c r="S119" s="1"/>
      <c r="T119" s="1"/>
      <c r="U119" s="10"/>
      <c r="V119" s="10"/>
      <c r="W119" s="1"/>
      <c r="X119" s="1"/>
      <c r="Y119" s="1"/>
      <c r="Z119" s="1"/>
      <c r="AA119" s="1"/>
      <c r="AB119" s="10"/>
      <c r="AC119" s="10"/>
      <c r="AD119" s="1"/>
      <c r="AE119" s="1"/>
      <c r="AF119" s="1"/>
      <c r="AG119" s="1"/>
      <c r="AH119" s="1"/>
      <c r="AI119" s="14"/>
      <c r="AL119" s="47"/>
      <c r="AM119" s="23"/>
      <c r="AN119" s="24"/>
    </row>
    <row r="120" spans="2:40" x14ac:dyDescent="0.2">
      <c r="E120" s="16"/>
      <c r="F120" s="1"/>
      <c r="G120" s="10"/>
      <c r="H120" s="10"/>
      <c r="I120" s="1"/>
      <c r="J120" s="1"/>
      <c r="K120" s="1"/>
      <c r="L120" s="1"/>
      <c r="M120" s="1"/>
      <c r="N120" s="10"/>
      <c r="O120" s="10"/>
      <c r="P120" s="1"/>
      <c r="Q120" s="1"/>
      <c r="R120" s="1"/>
      <c r="S120" s="1"/>
      <c r="T120" s="1"/>
      <c r="U120" s="10"/>
      <c r="V120" s="10"/>
      <c r="W120" s="1"/>
      <c r="X120" s="1"/>
      <c r="Y120" s="1"/>
      <c r="Z120" s="1"/>
      <c r="AA120" s="1"/>
      <c r="AB120" s="10"/>
      <c r="AC120" s="10"/>
      <c r="AD120" s="1"/>
      <c r="AE120" s="1"/>
      <c r="AF120" s="1"/>
      <c r="AG120" s="1"/>
      <c r="AH120" s="1"/>
      <c r="AI120" s="14"/>
      <c r="AL120" s="47"/>
      <c r="AM120" s="23"/>
      <c r="AN120" s="24"/>
    </row>
    <row r="121" spans="2:40" ht="15.75" thickBot="1" x14ac:dyDescent="0.25">
      <c r="E121" s="17"/>
      <c r="F121" s="7"/>
      <c r="G121" s="11"/>
      <c r="H121" s="11"/>
      <c r="I121" s="7"/>
      <c r="J121" s="7"/>
      <c r="K121" s="7"/>
      <c r="L121" s="7"/>
      <c r="M121" s="7"/>
      <c r="N121" s="11"/>
      <c r="O121" s="11"/>
      <c r="P121" s="7"/>
      <c r="Q121" s="7"/>
      <c r="R121" s="7"/>
      <c r="S121" s="7"/>
      <c r="T121" s="7"/>
      <c r="U121" s="11"/>
      <c r="V121" s="11"/>
      <c r="W121" s="7"/>
      <c r="X121" s="7"/>
      <c r="Y121" s="7"/>
      <c r="Z121" s="7"/>
      <c r="AA121" s="7"/>
      <c r="AB121" s="11"/>
      <c r="AC121" s="11"/>
      <c r="AD121" s="7"/>
      <c r="AE121" s="7"/>
      <c r="AF121" s="7"/>
      <c r="AG121" s="7"/>
      <c r="AH121" s="7"/>
      <c r="AI121" s="15"/>
      <c r="AL121" s="47"/>
      <c r="AM121" s="23"/>
      <c r="AN121" s="24"/>
    </row>
    <row r="132" spans="5:5" x14ac:dyDescent="0.2">
      <c r="E132" t="s">
        <v>20</v>
      </c>
    </row>
    <row r="133" spans="5:5" x14ac:dyDescent="0.2">
      <c r="E133" t="s">
        <v>21</v>
      </c>
    </row>
    <row r="134" spans="5:5" x14ac:dyDescent="0.2">
      <c r="E134" t="s">
        <v>22</v>
      </c>
    </row>
    <row r="135" spans="5:5" x14ac:dyDescent="0.2">
      <c r="E135" t="s">
        <v>23</v>
      </c>
    </row>
    <row r="136" spans="5:5" x14ac:dyDescent="0.2">
      <c r="E136" t="s">
        <v>24</v>
      </c>
    </row>
    <row r="137" spans="5:5" x14ac:dyDescent="0.2">
      <c r="E137" t="s">
        <v>25</v>
      </c>
    </row>
    <row r="138" spans="5:5" x14ac:dyDescent="0.2">
      <c r="E138" t="s">
        <v>26</v>
      </c>
    </row>
    <row r="139" spans="5:5" x14ac:dyDescent="0.2">
      <c r="E139" t="s">
        <v>27</v>
      </c>
    </row>
    <row r="140" spans="5:5" x14ac:dyDescent="0.2">
      <c r="E140" s="86" t="s">
        <v>28</v>
      </c>
    </row>
  </sheetData>
  <mergeCells count="80">
    <mergeCell ref="AF59:AH59"/>
    <mergeCell ref="E95:H95"/>
    <mergeCell ref="I95:AI95"/>
    <mergeCell ref="N78:O78"/>
    <mergeCell ref="E81:AI81"/>
    <mergeCell ref="E83:G83"/>
    <mergeCell ref="H83:AI83"/>
    <mergeCell ref="E87:AI87"/>
    <mergeCell ref="E89:AF89"/>
    <mergeCell ref="E93:AI93"/>
    <mergeCell ref="E117:AI117"/>
    <mergeCell ref="E101:AH101"/>
    <mergeCell ref="E99:AI99"/>
    <mergeCell ref="E105:AI105"/>
    <mergeCell ref="E111:AI111"/>
    <mergeCell ref="BM64:CQ64"/>
    <mergeCell ref="I66:J66"/>
    <mergeCell ref="W66:Y66"/>
    <mergeCell ref="Z66:AA66"/>
    <mergeCell ref="E33:AI33"/>
    <mergeCell ref="E39:AI39"/>
    <mergeCell ref="E41:AH41"/>
    <mergeCell ref="F35:AI35"/>
    <mergeCell ref="E53:AH53"/>
    <mergeCell ref="E47:U47"/>
    <mergeCell ref="AE47:AI47"/>
    <mergeCell ref="E65:Q65"/>
    <mergeCell ref="R65:T65"/>
    <mergeCell ref="U65:AI65"/>
    <mergeCell ref="V47:AC47"/>
    <mergeCell ref="E59:AC59"/>
    <mergeCell ref="B45:C115"/>
    <mergeCell ref="E45:AI45"/>
    <mergeCell ref="Q48:S48"/>
    <mergeCell ref="T48:U48"/>
    <mergeCell ref="E57:AI57"/>
    <mergeCell ref="R60:T60"/>
    <mergeCell ref="U60:V60"/>
    <mergeCell ref="X48:Y48"/>
    <mergeCell ref="AH48:AI48"/>
    <mergeCell ref="E51:AI51"/>
    <mergeCell ref="Q54:R54"/>
    <mergeCell ref="U54:W54"/>
    <mergeCell ref="X54:Y54"/>
    <mergeCell ref="E63:AI63"/>
    <mergeCell ref="D93:D97"/>
    <mergeCell ref="D99:D103"/>
    <mergeCell ref="E29:G29"/>
    <mergeCell ref="E15:AI15"/>
    <mergeCell ref="F17:N17"/>
    <mergeCell ref="O17:AF17"/>
    <mergeCell ref="Z18:AF18"/>
    <mergeCell ref="E21:AI21"/>
    <mergeCell ref="E23:AI23"/>
    <mergeCell ref="E24:L24"/>
    <mergeCell ref="M24:X24"/>
    <mergeCell ref="AA24:AC24"/>
    <mergeCell ref="AD24:AF24"/>
    <mergeCell ref="E27:AI27"/>
    <mergeCell ref="H29:AG29"/>
    <mergeCell ref="Q13:S13"/>
    <mergeCell ref="E1:AI1"/>
    <mergeCell ref="E4:AI4"/>
    <mergeCell ref="E8:AI8"/>
    <mergeCell ref="E11:AB11"/>
    <mergeCell ref="AC11:AI11"/>
    <mergeCell ref="D87:D91"/>
    <mergeCell ref="D81:D85"/>
    <mergeCell ref="D75:D79"/>
    <mergeCell ref="D69:D73"/>
    <mergeCell ref="I77:AI77"/>
    <mergeCell ref="E77:H77"/>
    <mergeCell ref="E75:AI75"/>
    <mergeCell ref="K78:M78"/>
    <mergeCell ref="E69:AI69"/>
    <mergeCell ref="P72:Q72"/>
    <mergeCell ref="T72:V72"/>
    <mergeCell ref="W72:X72"/>
    <mergeCell ref="AD73:AE73"/>
    <mergeCell ref="E71:AH71"/>
  </mergeCells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354F-8FD9-074F-8CB9-050BF14E6700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2DE4-D729-484B-9A9B-B76776E94A24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EDD9-3390-3C4D-A56E-BB08D60C7EDF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5A98-9797-F940-A016-480ACCB98BDC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4945-681A-2E40-BB48-B9331F05EA56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B565-A613-1A41-B1CD-3D3E2F3D6769}">
  <sheetPr>
    <pageSetUpPr fitToPage="1"/>
  </sheetPr>
  <dimension ref="A1:CQ140"/>
  <sheetViews>
    <sheetView topLeftCell="A46" zoomScale="80" zoomScaleNormal="80" workbookViewId="0">
      <selection activeCell="E117" sqref="E117:AI117"/>
    </sheetView>
  </sheetViews>
  <sheetFormatPr defaultRowHeight="15" x14ac:dyDescent="0.2"/>
  <cols>
    <col min="4" max="4" width="10.4921875" bestFit="1" customWidth="1"/>
    <col min="21" max="21" width="10.625" customWidth="1"/>
    <col min="36" max="36" width="15.19921875" style="162" customWidth="1"/>
    <col min="37" max="37" width="15.46875" style="162" customWidth="1"/>
    <col min="38" max="38" width="13.5859375" style="50" bestFit="1" customWidth="1"/>
    <col min="39" max="39" width="8.609375" style="162"/>
    <col min="40" max="40" width="8.609375" style="25"/>
  </cols>
  <sheetData>
    <row r="1" spans="5:40" x14ac:dyDescent="0.2">
      <c r="E1" s="194">
        <v>45992</v>
      </c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6"/>
      <c r="AL1" s="47">
        <v>68</v>
      </c>
      <c r="AM1" s="23"/>
      <c r="AN1" s="24"/>
    </row>
    <row r="2" spans="5:40" x14ac:dyDescent="0.2">
      <c r="E2" s="111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L2" s="47"/>
      <c r="AM2" s="23"/>
      <c r="AN2" s="24"/>
    </row>
    <row r="3" spans="5:40" x14ac:dyDescent="0.2">
      <c r="E3" s="30">
        <v>1</v>
      </c>
      <c r="F3" s="31">
        <v>2</v>
      </c>
      <c r="G3" s="31">
        <v>3</v>
      </c>
      <c r="H3" s="31">
        <v>4</v>
      </c>
      <c r="I3" s="31">
        <v>5</v>
      </c>
      <c r="J3" s="10">
        <v>6</v>
      </c>
      <c r="K3" s="10">
        <v>7</v>
      </c>
      <c r="L3" s="31">
        <v>8</v>
      </c>
      <c r="M3" s="31">
        <v>9</v>
      </c>
      <c r="N3" s="31">
        <v>10</v>
      </c>
      <c r="O3" s="31">
        <v>11</v>
      </c>
      <c r="P3" s="31">
        <v>12</v>
      </c>
      <c r="Q3" s="10">
        <v>13</v>
      </c>
      <c r="R3" s="10">
        <v>14</v>
      </c>
      <c r="S3" s="31">
        <v>15</v>
      </c>
      <c r="T3" s="31">
        <v>16</v>
      </c>
      <c r="U3" s="31">
        <v>17</v>
      </c>
      <c r="V3" s="31">
        <v>18</v>
      </c>
      <c r="W3" s="31">
        <v>19</v>
      </c>
      <c r="X3" s="10">
        <v>20</v>
      </c>
      <c r="Y3" s="10">
        <v>21</v>
      </c>
      <c r="Z3" s="31">
        <v>22</v>
      </c>
      <c r="AA3" s="31">
        <v>23</v>
      </c>
      <c r="AB3" s="31">
        <v>24</v>
      </c>
      <c r="AC3" s="31">
        <v>25</v>
      </c>
      <c r="AD3" s="31">
        <v>26</v>
      </c>
      <c r="AE3" s="10">
        <v>27</v>
      </c>
      <c r="AF3" s="10">
        <v>28</v>
      </c>
      <c r="AG3" s="31">
        <v>29</v>
      </c>
      <c r="AH3" s="31">
        <v>30</v>
      </c>
      <c r="AI3" s="34">
        <v>31</v>
      </c>
      <c r="AL3" s="47"/>
      <c r="AM3" s="23"/>
      <c r="AN3" s="24"/>
    </row>
    <row r="4" spans="5:40" x14ac:dyDescent="0.2">
      <c r="E4" s="223" t="s">
        <v>5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5"/>
      <c r="AL4" s="47"/>
      <c r="AM4" s="23"/>
      <c r="AN4" s="24"/>
    </row>
    <row r="5" spans="5:40" ht="15.75" thickBot="1" x14ac:dyDescent="0.25">
      <c r="E5" s="30"/>
      <c r="F5" s="31"/>
      <c r="G5" s="31"/>
      <c r="H5" s="31"/>
      <c r="I5" s="31"/>
      <c r="J5" s="10"/>
      <c r="K5" s="10"/>
      <c r="L5" s="31"/>
      <c r="M5" s="31"/>
      <c r="N5" s="31"/>
      <c r="O5" s="31"/>
      <c r="P5" s="31"/>
      <c r="Q5" s="10"/>
      <c r="R5" s="10"/>
      <c r="S5" s="31"/>
      <c r="T5" s="31"/>
      <c r="U5" s="31"/>
      <c r="V5" s="31"/>
      <c r="W5" s="31"/>
      <c r="X5" s="10"/>
      <c r="Y5" s="10"/>
      <c r="Z5" s="31"/>
      <c r="AA5" s="31"/>
      <c r="AB5" s="31"/>
      <c r="AC5" s="31"/>
      <c r="AD5" s="31"/>
      <c r="AE5" s="10"/>
      <c r="AF5" s="10"/>
      <c r="AG5" s="31"/>
      <c r="AH5" s="31"/>
      <c r="AI5" s="34"/>
      <c r="AL5" s="47"/>
      <c r="AM5" s="23"/>
      <c r="AN5" s="24"/>
    </row>
    <row r="6" spans="5:40" ht="15.75" thickBot="1" x14ac:dyDescent="0.25">
      <c r="E6" s="32"/>
      <c r="F6" s="33"/>
      <c r="G6" s="33"/>
      <c r="H6" s="33"/>
      <c r="I6" s="33"/>
      <c r="J6" s="11"/>
      <c r="K6" s="11"/>
      <c r="L6" s="33"/>
      <c r="M6" s="33"/>
      <c r="N6" s="33"/>
      <c r="O6" s="33"/>
      <c r="P6" s="33"/>
      <c r="Q6" s="11"/>
      <c r="R6" s="11"/>
      <c r="S6" s="33"/>
      <c r="T6" s="33"/>
      <c r="U6" s="33"/>
      <c r="V6" s="33"/>
      <c r="W6" s="33"/>
      <c r="X6" s="11"/>
      <c r="Y6" s="11"/>
      <c r="Z6" s="33"/>
      <c r="AA6" s="33"/>
      <c r="AB6" s="33"/>
      <c r="AC6" s="33"/>
      <c r="AD6" s="33"/>
      <c r="AE6" s="11"/>
      <c r="AF6" s="11"/>
      <c r="AG6" s="33"/>
      <c r="AH6" s="33"/>
      <c r="AI6" s="35"/>
      <c r="AL6" s="47"/>
      <c r="AM6" s="23"/>
      <c r="AN6" s="29">
        <v>0</v>
      </c>
    </row>
    <row r="7" spans="5:40" ht="15.75" thickBot="1" x14ac:dyDescent="0.25">
      <c r="AL7" s="47"/>
      <c r="AM7" s="23"/>
      <c r="AN7" s="24"/>
    </row>
    <row r="8" spans="5:40" x14ac:dyDescent="0.2">
      <c r="E8" s="194">
        <v>46023</v>
      </c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6"/>
      <c r="AL8" s="47">
        <f>SUM(AL1+2.5-AN6)</f>
        <v>70.5</v>
      </c>
      <c r="AM8" s="23"/>
      <c r="AN8" s="24"/>
    </row>
    <row r="9" spans="5:40" x14ac:dyDescent="0.2">
      <c r="E9" s="111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3"/>
      <c r="AL9" s="47"/>
      <c r="AM9" s="23"/>
      <c r="AN9" s="24"/>
    </row>
    <row r="10" spans="5:40" x14ac:dyDescent="0.2">
      <c r="E10" s="30">
        <v>1</v>
      </c>
      <c r="F10" s="31">
        <v>2</v>
      </c>
      <c r="G10" s="38">
        <v>3</v>
      </c>
      <c r="H10" s="38">
        <v>4</v>
      </c>
      <c r="I10" s="31">
        <v>5</v>
      </c>
      <c r="J10" s="31">
        <v>6</v>
      </c>
      <c r="K10" s="31">
        <v>7</v>
      </c>
      <c r="L10" s="31">
        <v>8</v>
      </c>
      <c r="M10" s="31">
        <v>9</v>
      </c>
      <c r="N10" s="38">
        <v>10</v>
      </c>
      <c r="O10" s="38">
        <v>11</v>
      </c>
      <c r="P10" s="31">
        <v>12</v>
      </c>
      <c r="Q10" s="31">
        <v>13</v>
      </c>
      <c r="R10" s="31">
        <v>14</v>
      </c>
      <c r="S10" s="31">
        <v>15</v>
      </c>
      <c r="T10" s="31">
        <v>16</v>
      </c>
      <c r="U10" s="38">
        <v>17</v>
      </c>
      <c r="V10" s="38">
        <v>18</v>
      </c>
      <c r="W10" s="31">
        <v>19</v>
      </c>
      <c r="X10" s="31">
        <v>20</v>
      </c>
      <c r="Y10" s="31">
        <v>21</v>
      </c>
      <c r="Z10" s="31">
        <v>22</v>
      </c>
      <c r="AA10" s="31">
        <v>23</v>
      </c>
      <c r="AB10" s="38">
        <v>24</v>
      </c>
      <c r="AC10" s="38">
        <v>25</v>
      </c>
      <c r="AD10" s="31">
        <v>26</v>
      </c>
      <c r="AE10" s="31">
        <v>27</v>
      </c>
      <c r="AF10" s="31">
        <v>28</v>
      </c>
      <c r="AG10" s="31">
        <v>29</v>
      </c>
      <c r="AH10" s="31">
        <v>30</v>
      </c>
      <c r="AI10" s="40">
        <v>31</v>
      </c>
      <c r="AL10" s="47"/>
      <c r="AM10" s="23"/>
      <c r="AN10" s="24"/>
    </row>
    <row r="11" spans="5:40" x14ac:dyDescent="0.2">
      <c r="E11" s="223" t="s">
        <v>5</v>
      </c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6"/>
      <c r="AC11" s="227" t="s">
        <v>37</v>
      </c>
      <c r="AD11" s="228"/>
      <c r="AE11" s="228"/>
      <c r="AF11" s="228"/>
      <c r="AG11" s="228"/>
      <c r="AH11" s="228"/>
      <c r="AI11" s="229"/>
      <c r="AL11" s="47"/>
      <c r="AM11" s="23"/>
      <c r="AN11" s="24"/>
    </row>
    <row r="12" spans="5:40" ht="15.75" thickBot="1" x14ac:dyDescent="0.25">
      <c r="E12" s="30"/>
      <c r="F12" s="31"/>
      <c r="G12" s="38"/>
      <c r="H12" s="38"/>
      <c r="I12" s="31"/>
      <c r="J12" s="31"/>
      <c r="K12" s="31"/>
      <c r="L12" s="31"/>
      <c r="M12" s="31"/>
      <c r="N12" s="38"/>
      <c r="O12" s="38"/>
      <c r="P12" s="31"/>
      <c r="Q12" s="31"/>
      <c r="R12" s="31"/>
      <c r="S12" s="31"/>
      <c r="T12" s="31"/>
      <c r="U12" s="38"/>
      <c r="V12" s="38"/>
      <c r="W12" s="31"/>
      <c r="X12" s="31"/>
      <c r="Y12" s="31"/>
      <c r="Z12" s="31"/>
      <c r="AA12" s="33"/>
      <c r="AB12" s="39"/>
      <c r="AC12" s="39"/>
      <c r="AD12" s="33"/>
      <c r="AE12" s="33"/>
      <c r="AF12" s="33"/>
      <c r="AG12" s="33"/>
      <c r="AH12" s="33"/>
      <c r="AI12" s="41"/>
      <c r="AL12" s="47"/>
      <c r="AM12" s="23"/>
      <c r="AN12" s="24"/>
    </row>
    <row r="13" spans="5:40" ht="15.75" thickBot="1" x14ac:dyDescent="0.25">
      <c r="E13" s="32"/>
      <c r="F13" s="33"/>
      <c r="G13" s="39"/>
      <c r="H13" s="39"/>
      <c r="I13" s="33"/>
      <c r="J13" s="33"/>
      <c r="K13" s="33"/>
      <c r="L13" s="33"/>
      <c r="M13" s="33"/>
      <c r="N13" s="39"/>
      <c r="O13" s="39"/>
      <c r="P13" s="45"/>
      <c r="Q13" s="221" t="s">
        <v>8</v>
      </c>
      <c r="R13" s="222"/>
      <c r="S13" s="222"/>
      <c r="T13" s="46"/>
      <c r="U13" s="39"/>
      <c r="V13" s="39"/>
      <c r="W13" s="33"/>
      <c r="X13" s="33"/>
      <c r="Y13" s="33"/>
      <c r="Z13" s="33"/>
      <c r="AA13" s="33"/>
      <c r="AB13" s="39"/>
      <c r="AC13" s="39"/>
      <c r="AD13" s="33"/>
      <c r="AE13" s="33"/>
      <c r="AF13" s="33"/>
      <c r="AG13" s="33"/>
      <c r="AH13" s="33"/>
      <c r="AI13" s="41"/>
      <c r="AL13" s="47"/>
      <c r="AM13" s="23"/>
      <c r="AN13" s="29">
        <v>7</v>
      </c>
    </row>
    <row r="14" spans="5:40" ht="15.75" thickBot="1" x14ac:dyDescent="0.25">
      <c r="AL14" s="47"/>
      <c r="AM14" s="23"/>
      <c r="AN14" s="24"/>
    </row>
    <row r="15" spans="5:40" x14ac:dyDescent="0.2">
      <c r="E15" s="194">
        <v>46054</v>
      </c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6"/>
      <c r="AL15" s="47">
        <f>SUM(AL8+2.5-AN13)</f>
        <v>66</v>
      </c>
      <c r="AM15" s="23"/>
      <c r="AN15" s="24"/>
    </row>
    <row r="16" spans="5:40" x14ac:dyDescent="0.2">
      <c r="E16" s="42">
        <v>1</v>
      </c>
      <c r="F16" s="1">
        <v>2</v>
      </c>
      <c r="G16" s="1">
        <v>3</v>
      </c>
      <c r="H16" s="1">
        <v>4</v>
      </c>
      <c r="I16" s="31">
        <v>5</v>
      </c>
      <c r="J16" s="31">
        <v>6</v>
      </c>
      <c r="K16" s="38">
        <v>7</v>
      </c>
      <c r="L16" s="38">
        <v>8</v>
      </c>
      <c r="M16" s="31">
        <v>9</v>
      </c>
      <c r="N16" s="31">
        <v>10</v>
      </c>
      <c r="O16" s="31">
        <v>11</v>
      </c>
      <c r="P16" s="31">
        <v>12</v>
      </c>
      <c r="Q16" s="31">
        <v>13</v>
      </c>
      <c r="R16" s="38">
        <v>14</v>
      </c>
      <c r="S16" s="38">
        <v>15</v>
      </c>
      <c r="T16" s="31">
        <v>16</v>
      </c>
      <c r="U16" s="31">
        <v>17</v>
      </c>
      <c r="V16" s="31">
        <v>18</v>
      </c>
      <c r="W16" s="31">
        <v>19</v>
      </c>
      <c r="X16" s="31">
        <v>20</v>
      </c>
      <c r="Y16" s="38">
        <v>21</v>
      </c>
      <c r="Z16" s="38">
        <v>22</v>
      </c>
      <c r="AA16" s="31">
        <v>23</v>
      </c>
      <c r="AB16" s="31">
        <v>24</v>
      </c>
      <c r="AC16" s="31">
        <v>25</v>
      </c>
      <c r="AD16" s="31">
        <v>26</v>
      </c>
      <c r="AE16" s="31">
        <v>27</v>
      </c>
      <c r="AF16" s="38">
        <v>28</v>
      </c>
      <c r="AG16" s="38">
        <v>29</v>
      </c>
      <c r="AH16" s="1"/>
      <c r="AI16" s="5"/>
      <c r="AL16" s="47"/>
      <c r="AM16" s="23"/>
      <c r="AN16" s="24"/>
    </row>
    <row r="17" spans="5:42" x14ac:dyDescent="0.2">
      <c r="E17" s="18"/>
      <c r="F17" s="233" t="s">
        <v>5</v>
      </c>
      <c r="G17" s="224"/>
      <c r="H17" s="224"/>
      <c r="I17" s="224"/>
      <c r="J17" s="224"/>
      <c r="K17" s="224"/>
      <c r="L17" s="224"/>
      <c r="M17" s="224"/>
      <c r="N17" s="226"/>
      <c r="O17" s="234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6"/>
      <c r="AG17" s="38"/>
      <c r="AH17" s="1"/>
      <c r="AI17" s="5"/>
      <c r="AL17" s="47"/>
      <c r="AM17" s="23"/>
      <c r="AN17" s="24"/>
    </row>
    <row r="18" spans="5:42" ht="15.75" thickBot="1" x14ac:dyDescent="0.25">
      <c r="E18" s="18" t="s">
        <v>4</v>
      </c>
      <c r="F18" s="1"/>
      <c r="G18" s="1"/>
      <c r="H18" s="1"/>
      <c r="I18" s="31"/>
      <c r="J18" s="31"/>
      <c r="K18" s="38"/>
      <c r="L18" s="38"/>
      <c r="M18" s="31"/>
      <c r="N18" s="31"/>
      <c r="O18" s="31"/>
      <c r="P18" s="31"/>
      <c r="Q18" s="31"/>
      <c r="R18" s="38"/>
      <c r="S18" s="38"/>
      <c r="T18" s="31"/>
      <c r="U18" s="31"/>
      <c r="V18" s="31"/>
      <c r="W18" s="31"/>
      <c r="X18" s="31"/>
      <c r="Y18" s="38"/>
      <c r="Z18" s="237" t="s">
        <v>7</v>
      </c>
      <c r="AA18" s="238"/>
      <c r="AB18" s="238"/>
      <c r="AC18" s="238"/>
      <c r="AD18" s="238"/>
      <c r="AE18" s="238"/>
      <c r="AF18" s="238"/>
      <c r="AG18" s="110"/>
      <c r="AH18" s="1"/>
      <c r="AI18" s="5"/>
      <c r="AL18" s="47"/>
      <c r="AM18" s="23"/>
      <c r="AN18" s="24"/>
    </row>
    <row r="19" spans="5:42" ht="15.75" thickBot="1" x14ac:dyDescent="0.25">
      <c r="E19" s="19"/>
      <c r="F19" s="7"/>
      <c r="G19" s="7"/>
      <c r="H19" s="7"/>
      <c r="I19" s="33"/>
      <c r="J19" s="33"/>
      <c r="K19" s="39"/>
      <c r="L19" s="39"/>
      <c r="M19" s="22" t="s">
        <v>9</v>
      </c>
      <c r="N19" s="33"/>
      <c r="O19" s="33"/>
      <c r="P19" s="33"/>
      <c r="Q19" s="33"/>
      <c r="R19" s="39"/>
      <c r="S19" s="39"/>
      <c r="T19" s="33"/>
      <c r="U19" s="33"/>
      <c r="V19" s="33"/>
      <c r="W19" s="33"/>
      <c r="X19" s="33"/>
      <c r="Y19" s="39"/>
      <c r="Z19" s="39"/>
      <c r="AA19" s="33"/>
      <c r="AB19" s="33"/>
      <c r="AC19" s="33"/>
      <c r="AD19" s="33"/>
      <c r="AE19" s="33"/>
      <c r="AF19" s="39"/>
      <c r="AG19" s="39"/>
      <c r="AH19" s="7"/>
      <c r="AI19" s="8"/>
      <c r="AL19" s="47"/>
      <c r="AM19" s="23"/>
      <c r="AN19" s="29">
        <v>1</v>
      </c>
    </row>
    <row r="20" spans="5:42" ht="15.75" thickBot="1" x14ac:dyDescent="0.25">
      <c r="AL20" s="47"/>
      <c r="AM20" s="23"/>
      <c r="AN20" s="28"/>
    </row>
    <row r="21" spans="5:42" x14ac:dyDescent="0.2">
      <c r="E21" s="194">
        <v>46082</v>
      </c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6"/>
      <c r="AK21" s="162" t="s">
        <v>0</v>
      </c>
      <c r="AL21" s="47">
        <f>SUM(AL15+2.5-AN19)</f>
        <v>67.5</v>
      </c>
      <c r="AM21" s="23"/>
      <c r="AN21" s="24"/>
    </row>
    <row r="22" spans="5:42" x14ac:dyDescent="0.2">
      <c r="E22" s="42">
        <v>1</v>
      </c>
      <c r="F22" s="1">
        <v>2</v>
      </c>
      <c r="G22" s="31">
        <v>3</v>
      </c>
      <c r="H22" s="31">
        <v>4</v>
      </c>
      <c r="I22" s="31">
        <v>5</v>
      </c>
      <c r="J22" s="31">
        <v>6</v>
      </c>
      <c r="K22" s="38">
        <v>7</v>
      </c>
      <c r="L22" s="38">
        <v>8</v>
      </c>
      <c r="M22" s="31">
        <v>9</v>
      </c>
      <c r="N22" s="31">
        <v>10</v>
      </c>
      <c r="O22" s="31">
        <v>11</v>
      </c>
      <c r="P22" s="31">
        <v>12</v>
      </c>
      <c r="Q22" s="31">
        <v>13</v>
      </c>
      <c r="R22" s="38">
        <v>14</v>
      </c>
      <c r="S22" s="38">
        <v>15</v>
      </c>
      <c r="T22" s="31">
        <v>16</v>
      </c>
      <c r="U22" s="31">
        <v>17</v>
      </c>
      <c r="V22" s="31">
        <v>18</v>
      </c>
      <c r="W22" s="31">
        <v>19</v>
      </c>
      <c r="X22" s="31">
        <v>20</v>
      </c>
      <c r="Y22" s="38">
        <v>21</v>
      </c>
      <c r="Z22" s="38">
        <v>22</v>
      </c>
      <c r="AA22" s="31">
        <v>23</v>
      </c>
      <c r="AB22" s="31">
        <v>24</v>
      </c>
      <c r="AC22" s="31">
        <v>25</v>
      </c>
      <c r="AD22" s="31">
        <v>26</v>
      </c>
      <c r="AE22" s="31">
        <v>27</v>
      </c>
      <c r="AF22" s="38">
        <v>28</v>
      </c>
      <c r="AG22" s="38">
        <v>29</v>
      </c>
      <c r="AH22" s="31">
        <v>30</v>
      </c>
      <c r="AI22" s="34">
        <v>31</v>
      </c>
      <c r="AL22" s="47"/>
      <c r="AM22" s="23"/>
      <c r="AN22" s="24"/>
    </row>
    <row r="23" spans="5:42" x14ac:dyDescent="0.2">
      <c r="E23" s="223" t="s">
        <v>5</v>
      </c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5"/>
      <c r="AL23" s="47"/>
      <c r="AM23" s="23"/>
      <c r="AN23" s="24"/>
    </row>
    <row r="24" spans="5:42" ht="15.75" thickBot="1" x14ac:dyDescent="0.25">
      <c r="E24" s="237" t="s">
        <v>6</v>
      </c>
      <c r="F24" s="239"/>
      <c r="G24" s="239"/>
      <c r="H24" s="239"/>
      <c r="I24" s="239"/>
      <c r="J24" s="239"/>
      <c r="K24" s="239"/>
      <c r="L24" s="240"/>
      <c r="M24" s="241" t="s">
        <v>10</v>
      </c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3"/>
      <c r="Y24" s="38"/>
      <c r="Z24" s="38"/>
      <c r="AA24" s="237" t="s">
        <v>13</v>
      </c>
      <c r="AB24" s="239"/>
      <c r="AC24" s="239"/>
      <c r="AD24" s="237" t="s">
        <v>14</v>
      </c>
      <c r="AE24" s="239"/>
      <c r="AF24" s="239"/>
      <c r="AG24" s="39"/>
      <c r="AH24" s="31"/>
      <c r="AI24" s="34"/>
      <c r="AL24" s="47"/>
      <c r="AM24" s="23"/>
      <c r="AN24" s="24"/>
    </row>
    <row r="25" spans="5:42" ht="15.75" thickBot="1" x14ac:dyDescent="0.25">
      <c r="E25" s="43"/>
      <c r="F25" s="7"/>
      <c r="G25" s="33"/>
      <c r="H25" s="33"/>
      <c r="I25" s="33"/>
      <c r="J25" s="33"/>
      <c r="K25" s="39"/>
      <c r="L25" s="39"/>
      <c r="M25" s="33"/>
      <c r="N25" s="33"/>
      <c r="O25" s="33"/>
      <c r="P25" s="33"/>
      <c r="Q25" s="33"/>
      <c r="R25" s="39"/>
      <c r="S25" s="39"/>
      <c r="T25" s="33"/>
      <c r="U25" s="33"/>
      <c r="V25" s="33"/>
      <c r="W25" s="33"/>
      <c r="X25" s="33"/>
      <c r="Y25" s="39"/>
      <c r="Z25" s="39"/>
      <c r="AA25" s="33"/>
      <c r="AB25" s="33"/>
      <c r="AC25" s="33"/>
      <c r="AD25" s="33"/>
      <c r="AE25" s="33"/>
      <c r="AF25" s="39"/>
      <c r="AG25" s="39"/>
      <c r="AH25" s="33"/>
      <c r="AI25" s="35"/>
      <c r="AL25" s="47"/>
      <c r="AM25" s="23"/>
      <c r="AN25" s="29">
        <v>0</v>
      </c>
    </row>
    <row r="26" spans="5:42" ht="30" thickBot="1" x14ac:dyDescent="0.45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L26" s="47"/>
      <c r="AM26" s="23"/>
      <c r="AN26" s="28"/>
      <c r="AP26" s="126" t="s">
        <v>42</v>
      </c>
    </row>
    <row r="27" spans="5:42" ht="30" thickBot="1" x14ac:dyDescent="0.45">
      <c r="E27" s="190">
        <v>46113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2"/>
      <c r="AH27" s="192"/>
      <c r="AI27" s="193"/>
      <c r="AK27" s="162" t="s">
        <v>50</v>
      </c>
      <c r="AL27" s="47">
        <v>69</v>
      </c>
      <c r="AM27" s="23"/>
      <c r="AN27" s="24"/>
      <c r="AP27" s="126">
        <v>23</v>
      </c>
    </row>
    <row r="28" spans="5:42" ht="29.25" x14ac:dyDescent="0.4">
      <c r="E28" s="36">
        <v>1</v>
      </c>
      <c r="F28" s="37">
        <v>2</v>
      </c>
      <c r="G28" s="37">
        <v>3</v>
      </c>
      <c r="H28" s="44">
        <v>4</v>
      </c>
      <c r="I28" s="44">
        <v>5</v>
      </c>
      <c r="J28" s="37">
        <v>6</v>
      </c>
      <c r="K28" s="37">
        <v>7</v>
      </c>
      <c r="L28" s="37">
        <v>8</v>
      </c>
      <c r="M28" s="37">
        <v>9</v>
      </c>
      <c r="N28" s="37">
        <v>10</v>
      </c>
      <c r="O28" s="44">
        <v>11</v>
      </c>
      <c r="P28" s="44">
        <v>12</v>
      </c>
      <c r="Q28" s="37">
        <v>13</v>
      </c>
      <c r="R28" s="37">
        <v>14</v>
      </c>
      <c r="S28" s="37">
        <v>15</v>
      </c>
      <c r="T28" s="37">
        <v>16</v>
      </c>
      <c r="U28" s="37">
        <v>17</v>
      </c>
      <c r="V28" s="44">
        <v>18</v>
      </c>
      <c r="W28" s="44">
        <v>19</v>
      </c>
      <c r="X28" s="37">
        <v>20</v>
      </c>
      <c r="Y28" s="37">
        <v>21</v>
      </c>
      <c r="Z28" s="37">
        <v>22</v>
      </c>
      <c r="AA28" s="37">
        <v>23</v>
      </c>
      <c r="AB28" s="37">
        <v>24</v>
      </c>
      <c r="AC28" s="44">
        <v>25</v>
      </c>
      <c r="AD28" s="44">
        <v>26</v>
      </c>
      <c r="AE28" s="37">
        <v>27</v>
      </c>
      <c r="AF28" s="37">
        <v>28</v>
      </c>
      <c r="AG28" s="37">
        <v>29</v>
      </c>
      <c r="AH28" s="2">
        <v>30</v>
      </c>
      <c r="AI28" s="3"/>
      <c r="AL28" s="47"/>
      <c r="AM28" s="23"/>
      <c r="AN28" s="24"/>
      <c r="AP28" s="126"/>
    </row>
    <row r="29" spans="5:42" ht="29.25" customHeight="1" x14ac:dyDescent="0.4">
      <c r="E29" s="230" t="s">
        <v>19</v>
      </c>
      <c r="F29" s="231"/>
      <c r="G29" s="232"/>
      <c r="H29" s="223" t="s">
        <v>5</v>
      </c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157"/>
      <c r="AI29" s="71"/>
      <c r="AL29" s="47"/>
      <c r="AM29" s="23"/>
      <c r="AN29" s="24"/>
      <c r="AP29" s="126"/>
    </row>
    <row r="30" spans="5:42" ht="30" thickBot="1" x14ac:dyDescent="0.45">
      <c r="E30" s="30"/>
      <c r="F30" s="31"/>
      <c r="G30" s="31"/>
      <c r="H30" s="38"/>
      <c r="I30" s="38"/>
      <c r="J30" s="31"/>
      <c r="K30" s="31"/>
      <c r="L30" s="31"/>
      <c r="M30" s="31"/>
      <c r="N30" s="31"/>
      <c r="O30" s="38"/>
      <c r="P30" s="38"/>
      <c r="Q30" s="31"/>
      <c r="R30" s="31"/>
      <c r="S30" s="31"/>
      <c r="T30" s="31"/>
      <c r="U30" s="31"/>
      <c r="V30" s="38"/>
      <c r="W30" s="38"/>
      <c r="X30" s="33"/>
      <c r="Y30" s="33"/>
      <c r="Z30" s="33"/>
      <c r="AA30" s="33"/>
      <c r="AB30" s="33"/>
      <c r="AC30" s="39"/>
      <c r="AD30" s="39"/>
      <c r="AE30" s="33"/>
      <c r="AF30" s="33"/>
      <c r="AG30" s="33"/>
      <c r="AH30" s="7"/>
      <c r="AI30" s="8"/>
      <c r="AL30" s="47"/>
      <c r="AM30" s="23"/>
      <c r="AN30" s="24"/>
      <c r="AP30" s="126"/>
    </row>
    <row r="31" spans="5:42" ht="30" thickBot="1" x14ac:dyDescent="0.45">
      <c r="E31" s="32"/>
      <c r="F31" s="33"/>
      <c r="G31" s="33"/>
      <c r="H31" s="39"/>
      <c r="I31" s="39"/>
      <c r="J31" s="33"/>
      <c r="K31" s="33"/>
      <c r="L31" s="33"/>
      <c r="M31" s="33"/>
      <c r="N31" s="33"/>
      <c r="O31" s="39"/>
      <c r="P31" s="39"/>
      <c r="Q31" s="33"/>
      <c r="R31" s="33"/>
      <c r="S31" s="33"/>
      <c r="T31" s="33"/>
      <c r="U31" s="33"/>
      <c r="V31" s="39"/>
      <c r="W31" s="39"/>
      <c r="X31" s="33"/>
      <c r="Y31" s="33"/>
      <c r="Z31" s="33"/>
      <c r="AA31" s="33"/>
      <c r="AB31" s="33"/>
      <c r="AC31" s="39"/>
      <c r="AD31" s="39"/>
      <c r="AE31" s="33"/>
      <c r="AF31" s="33"/>
      <c r="AG31" s="33"/>
      <c r="AH31" s="7"/>
      <c r="AI31" s="8"/>
      <c r="AL31" s="47"/>
      <c r="AM31" s="23"/>
      <c r="AN31" s="29">
        <v>4</v>
      </c>
      <c r="AP31" s="126">
        <f>SUM(AP27-AN31)</f>
        <v>19</v>
      </c>
    </row>
    <row r="32" spans="5:42" ht="30" thickBot="1" x14ac:dyDescent="0.45">
      <c r="AL32" s="47"/>
      <c r="AM32" s="23"/>
      <c r="AN32" s="24"/>
      <c r="AP32" s="126"/>
    </row>
    <row r="33" spans="2:42" ht="29.25" x14ac:dyDescent="0.4">
      <c r="E33" s="194">
        <v>46143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6"/>
      <c r="AK33" s="162" t="s">
        <v>51</v>
      </c>
      <c r="AL33" s="47">
        <v>68</v>
      </c>
      <c r="AM33" s="23"/>
      <c r="AN33" s="24"/>
      <c r="AP33" s="126"/>
    </row>
    <row r="34" spans="2:42" ht="29.25" x14ac:dyDescent="0.4">
      <c r="E34" s="4">
        <v>1</v>
      </c>
      <c r="F34" s="38">
        <v>2</v>
      </c>
      <c r="G34" s="38">
        <v>3</v>
      </c>
      <c r="H34" s="31">
        <v>4</v>
      </c>
      <c r="I34" s="31">
        <v>5</v>
      </c>
      <c r="J34" s="31">
        <v>6</v>
      </c>
      <c r="K34" s="31">
        <v>7</v>
      </c>
      <c r="L34" s="31">
        <v>8</v>
      </c>
      <c r="M34" s="38">
        <v>9</v>
      </c>
      <c r="N34" s="38">
        <v>10</v>
      </c>
      <c r="O34" s="31">
        <v>11</v>
      </c>
      <c r="P34" s="31">
        <v>12</v>
      </c>
      <c r="Q34" s="31">
        <v>13</v>
      </c>
      <c r="R34" s="31">
        <v>14</v>
      </c>
      <c r="S34" s="31">
        <v>15</v>
      </c>
      <c r="T34" s="38">
        <v>16</v>
      </c>
      <c r="U34" s="38">
        <v>17</v>
      </c>
      <c r="V34" s="31">
        <v>18</v>
      </c>
      <c r="W34" s="31">
        <v>19</v>
      </c>
      <c r="X34" s="31">
        <v>20</v>
      </c>
      <c r="Y34" s="31">
        <v>21</v>
      </c>
      <c r="Z34" s="31">
        <v>22</v>
      </c>
      <c r="AA34" s="38">
        <v>23</v>
      </c>
      <c r="AB34" s="38">
        <v>24</v>
      </c>
      <c r="AC34" s="31">
        <v>25</v>
      </c>
      <c r="AD34" s="31">
        <v>26</v>
      </c>
      <c r="AE34" s="31">
        <v>27</v>
      </c>
      <c r="AF34" s="31">
        <v>28</v>
      </c>
      <c r="AG34" s="31">
        <v>29</v>
      </c>
      <c r="AH34" s="38">
        <v>30</v>
      </c>
      <c r="AI34" s="40">
        <v>31</v>
      </c>
      <c r="AL34" s="47"/>
      <c r="AM34" s="23"/>
      <c r="AN34" s="24"/>
      <c r="AP34" s="126"/>
    </row>
    <row r="35" spans="2:42" ht="29.25" x14ac:dyDescent="0.4">
      <c r="E35" s="158" t="s">
        <v>87</v>
      </c>
      <c r="F35" s="223" t="s">
        <v>5</v>
      </c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5"/>
      <c r="AL35" s="47"/>
      <c r="AM35" s="23"/>
      <c r="AN35" s="24"/>
      <c r="AP35" s="126"/>
    </row>
    <row r="36" spans="2:42" ht="30" thickBot="1" x14ac:dyDescent="0.45">
      <c r="E36" s="4"/>
      <c r="F36" s="38"/>
      <c r="G36" s="38"/>
      <c r="H36" s="31"/>
      <c r="I36" s="31"/>
      <c r="J36" s="31"/>
      <c r="K36" s="31"/>
      <c r="L36" s="31"/>
      <c r="M36" s="38"/>
      <c r="N36" s="38"/>
      <c r="O36" s="31"/>
      <c r="P36" s="31"/>
      <c r="Q36" s="31"/>
      <c r="R36" s="31"/>
      <c r="S36" s="31"/>
      <c r="T36" s="38"/>
      <c r="U36" s="38"/>
      <c r="V36" s="31"/>
      <c r="W36" s="31"/>
      <c r="X36" s="31"/>
      <c r="Y36" s="31"/>
      <c r="Z36" s="31"/>
      <c r="AA36" s="38"/>
      <c r="AB36" s="38"/>
      <c r="AC36" s="31"/>
      <c r="AD36" s="31"/>
      <c r="AE36" s="31"/>
      <c r="AF36" s="31"/>
      <c r="AG36" s="31"/>
      <c r="AH36" s="38"/>
      <c r="AI36" s="40"/>
      <c r="AL36" s="47"/>
      <c r="AM36" s="23"/>
      <c r="AN36" s="24"/>
      <c r="AP36" s="126"/>
    </row>
    <row r="37" spans="2:42" ht="30" thickBot="1" x14ac:dyDescent="0.45">
      <c r="E37" s="6"/>
      <c r="F37" s="39"/>
      <c r="G37" s="39"/>
      <c r="H37" s="33"/>
      <c r="I37" s="33"/>
      <c r="J37" s="33"/>
      <c r="K37" s="33"/>
      <c r="L37" s="33"/>
      <c r="M37" s="39"/>
      <c r="N37" s="39"/>
      <c r="O37" s="33"/>
      <c r="P37" s="33"/>
      <c r="Q37" s="33"/>
      <c r="R37" s="33"/>
      <c r="S37" s="33"/>
      <c r="T37" s="39"/>
      <c r="U37" s="39"/>
      <c r="V37" s="33"/>
      <c r="W37" s="33"/>
      <c r="X37" s="33"/>
      <c r="Y37" s="33"/>
      <c r="Z37" s="33"/>
      <c r="AA37" s="39"/>
      <c r="AB37" s="39"/>
      <c r="AC37" s="33"/>
      <c r="AD37" s="33"/>
      <c r="AE37" s="33"/>
      <c r="AF37" s="33"/>
      <c r="AG37" s="33"/>
      <c r="AH37" s="39"/>
      <c r="AI37" s="41"/>
      <c r="AL37" s="47"/>
      <c r="AM37" s="23"/>
      <c r="AN37" s="29">
        <v>1</v>
      </c>
      <c r="AP37" s="126">
        <f>SUM(AP31-AN37)</f>
        <v>18</v>
      </c>
    </row>
    <row r="38" spans="2:42" ht="30" thickBot="1" x14ac:dyDescent="0.4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L38" s="47"/>
      <c r="AM38" s="23"/>
      <c r="AN38" s="24"/>
      <c r="AP38" s="126"/>
    </row>
    <row r="39" spans="2:42" ht="30" thickBot="1" x14ac:dyDescent="0.45">
      <c r="E39" s="190">
        <v>46174</v>
      </c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2"/>
      <c r="AH39" s="192"/>
      <c r="AI39" s="193"/>
      <c r="AK39" s="162" t="s">
        <v>52</v>
      </c>
      <c r="AL39" s="47">
        <f>SUM(AL33+2.5-AN37)</f>
        <v>69.5</v>
      </c>
      <c r="AM39" s="23"/>
      <c r="AN39" s="24"/>
      <c r="AP39" s="126"/>
    </row>
    <row r="40" spans="2:42" ht="29.25" x14ac:dyDescent="0.4">
      <c r="E40" s="36">
        <v>1</v>
      </c>
      <c r="F40" s="37">
        <v>2</v>
      </c>
      <c r="G40" s="37">
        <v>3</v>
      </c>
      <c r="H40" s="37">
        <v>4</v>
      </c>
      <c r="I40" s="37">
        <v>5</v>
      </c>
      <c r="J40" s="44">
        <v>6</v>
      </c>
      <c r="K40" s="44">
        <v>7</v>
      </c>
      <c r="L40" s="37">
        <v>8</v>
      </c>
      <c r="M40" s="37">
        <v>9</v>
      </c>
      <c r="N40" s="37">
        <v>10</v>
      </c>
      <c r="O40" s="37">
        <v>11</v>
      </c>
      <c r="P40" s="37">
        <v>12</v>
      </c>
      <c r="Q40" s="44">
        <v>13</v>
      </c>
      <c r="R40" s="44">
        <v>14</v>
      </c>
      <c r="S40" s="37">
        <v>15</v>
      </c>
      <c r="T40" s="37">
        <v>16</v>
      </c>
      <c r="U40" s="37">
        <v>17</v>
      </c>
      <c r="V40" s="37">
        <v>18</v>
      </c>
      <c r="W40" s="37">
        <v>19</v>
      </c>
      <c r="X40" s="44">
        <v>20</v>
      </c>
      <c r="Y40" s="44">
        <v>21</v>
      </c>
      <c r="Z40" s="37">
        <v>22</v>
      </c>
      <c r="AA40" s="37">
        <v>23</v>
      </c>
      <c r="AB40" s="37">
        <v>24</v>
      </c>
      <c r="AC40" s="37">
        <v>25</v>
      </c>
      <c r="AD40" s="37">
        <v>26</v>
      </c>
      <c r="AE40" s="44">
        <v>27</v>
      </c>
      <c r="AF40" s="44">
        <v>28</v>
      </c>
      <c r="AG40" s="37">
        <v>29</v>
      </c>
      <c r="AH40" s="2">
        <v>30</v>
      </c>
      <c r="AI40" s="3"/>
      <c r="AL40" s="47"/>
      <c r="AM40" s="23"/>
      <c r="AN40" s="24"/>
      <c r="AP40" s="126"/>
    </row>
    <row r="41" spans="2:42" ht="29.25" x14ac:dyDescent="0.4">
      <c r="E41" s="223" t="s">
        <v>5</v>
      </c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6"/>
      <c r="AI41" s="5"/>
      <c r="AL41" s="47"/>
      <c r="AM41" s="23"/>
      <c r="AN41" s="24"/>
      <c r="AP41" s="126"/>
    </row>
    <row r="42" spans="2:42" ht="30" thickBot="1" x14ac:dyDescent="0.45">
      <c r="E42" s="30"/>
      <c r="F42" s="31"/>
      <c r="G42" s="31"/>
      <c r="H42" s="31"/>
      <c r="I42" s="31"/>
      <c r="J42" s="38"/>
      <c r="K42" s="38"/>
      <c r="L42" s="31"/>
      <c r="M42" s="31"/>
      <c r="N42" s="87" t="str">
        <f>(E140)</f>
        <v>VA Individual Appointments</v>
      </c>
      <c r="O42" s="31"/>
      <c r="P42" s="31"/>
      <c r="Q42" s="38"/>
      <c r="R42" s="38"/>
      <c r="S42" s="31"/>
      <c r="T42" s="31"/>
      <c r="U42" s="31"/>
      <c r="V42" s="31"/>
      <c r="W42" s="31"/>
      <c r="X42" s="38"/>
      <c r="Y42" s="38"/>
      <c r="Z42" s="31"/>
      <c r="AA42" s="31"/>
      <c r="AB42" s="31"/>
      <c r="AC42" s="31"/>
      <c r="AD42" s="31"/>
      <c r="AE42" s="38"/>
      <c r="AF42" s="38"/>
      <c r="AG42" s="31"/>
      <c r="AH42" s="1"/>
      <c r="AI42" s="5"/>
      <c r="AL42" s="47"/>
      <c r="AM42" s="23"/>
      <c r="AN42" s="24"/>
      <c r="AP42" s="126"/>
    </row>
    <row r="43" spans="2:42" ht="30" thickBot="1" x14ac:dyDescent="0.45">
      <c r="E43" s="32"/>
      <c r="F43" s="33"/>
      <c r="G43" s="33"/>
      <c r="H43" s="33"/>
      <c r="I43" s="33"/>
      <c r="J43" s="39"/>
      <c r="K43" s="39"/>
      <c r="L43" s="33"/>
      <c r="M43" s="33"/>
      <c r="N43" s="33"/>
      <c r="O43" s="33"/>
      <c r="P43" s="33"/>
      <c r="Q43" s="39"/>
      <c r="R43" s="39"/>
      <c r="S43" s="33"/>
      <c r="T43" s="33"/>
      <c r="U43" s="33"/>
      <c r="V43" s="33"/>
      <c r="W43" s="143" t="s">
        <v>91</v>
      </c>
      <c r="X43" s="127" t="s">
        <v>43</v>
      </c>
      <c r="Y43" s="39"/>
      <c r="Z43" s="33"/>
      <c r="AA43" s="33"/>
      <c r="AB43" s="33"/>
      <c r="AC43" s="33"/>
      <c r="AD43" s="33"/>
      <c r="AE43" s="39"/>
      <c r="AF43" s="39"/>
      <c r="AG43" s="33"/>
      <c r="AH43" s="7"/>
      <c r="AI43" s="8"/>
      <c r="AL43" s="47"/>
      <c r="AM43" s="23"/>
      <c r="AN43" s="29">
        <v>0</v>
      </c>
      <c r="AP43" s="126">
        <f>SUM(AP37-AN43)</f>
        <v>18</v>
      </c>
    </row>
    <row r="44" spans="2:42" ht="30" thickBot="1" x14ac:dyDescent="0.45"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6"/>
      <c r="AK44" s="106"/>
      <c r="AL44" s="107"/>
      <c r="AM44" s="108"/>
      <c r="AN44" s="109"/>
      <c r="AP44" s="126"/>
    </row>
    <row r="45" spans="2:42" ht="29.25" customHeight="1" x14ac:dyDescent="0.4">
      <c r="B45" s="244" t="s">
        <v>39</v>
      </c>
      <c r="C45" s="244"/>
      <c r="D45" s="179"/>
      <c r="E45" s="194">
        <v>46204</v>
      </c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6"/>
      <c r="AK45" s="162" t="s">
        <v>53</v>
      </c>
      <c r="AL45" s="47">
        <f>SUM(AL39+2.5-AN43)</f>
        <v>72</v>
      </c>
      <c r="AM45" s="23"/>
      <c r="AN45" s="24"/>
      <c r="AP45" s="126"/>
    </row>
    <row r="46" spans="2:42" ht="29.25" x14ac:dyDescent="0.4">
      <c r="B46" s="244"/>
      <c r="C46" s="244"/>
      <c r="D46" s="179"/>
      <c r="E46" s="4">
        <v>1</v>
      </c>
      <c r="F46" s="1">
        <v>2</v>
      </c>
      <c r="G46" s="1">
        <v>3</v>
      </c>
      <c r="H46" s="10">
        <v>4</v>
      </c>
      <c r="I46" s="10">
        <v>5</v>
      </c>
      <c r="J46" s="1">
        <v>6</v>
      </c>
      <c r="K46" s="1">
        <v>7</v>
      </c>
      <c r="L46" s="1">
        <v>8</v>
      </c>
      <c r="M46" s="1">
        <v>9</v>
      </c>
      <c r="N46" s="1">
        <v>10</v>
      </c>
      <c r="O46" s="10">
        <v>11</v>
      </c>
      <c r="P46" s="10">
        <v>12</v>
      </c>
      <c r="Q46" s="1">
        <v>13</v>
      </c>
      <c r="R46" s="1">
        <v>14</v>
      </c>
      <c r="S46" s="1">
        <v>15</v>
      </c>
      <c r="T46" s="1">
        <v>16</v>
      </c>
      <c r="U46" s="1">
        <v>17</v>
      </c>
      <c r="V46" s="10">
        <v>18</v>
      </c>
      <c r="W46" s="10">
        <v>19</v>
      </c>
      <c r="X46" s="1">
        <v>20</v>
      </c>
      <c r="Y46" s="1">
        <v>21</v>
      </c>
      <c r="Z46" s="1">
        <v>22</v>
      </c>
      <c r="AA46" s="1">
        <v>23</v>
      </c>
      <c r="AB46" s="1">
        <v>24</v>
      </c>
      <c r="AC46" s="10">
        <v>25</v>
      </c>
      <c r="AD46" s="10">
        <v>26</v>
      </c>
      <c r="AE46" s="1">
        <v>27</v>
      </c>
      <c r="AF46" s="1">
        <v>28</v>
      </c>
      <c r="AG46" s="1">
        <v>29</v>
      </c>
      <c r="AH46" s="1">
        <v>30</v>
      </c>
      <c r="AI46" s="5">
        <v>31</v>
      </c>
      <c r="AL46" s="47"/>
      <c r="AM46" s="23"/>
      <c r="AN46" s="24"/>
      <c r="AP46" s="126"/>
    </row>
    <row r="47" spans="2:42" ht="30" thickBot="1" x14ac:dyDescent="0.45">
      <c r="B47" s="244"/>
      <c r="C47" s="244"/>
      <c r="D47" s="179"/>
      <c r="E47" s="223" t="s">
        <v>140</v>
      </c>
      <c r="F47" s="224"/>
      <c r="G47" s="224"/>
      <c r="H47" s="10"/>
      <c r="I47" s="10"/>
      <c r="J47" s="224" t="s">
        <v>141</v>
      </c>
      <c r="K47" s="224"/>
      <c r="L47" s="224"/>
      <c r="M47" s="224"/>
      <c r="N47" s="224"/>
      <c r="O47" s="10"/>
      <c r="P47" s="10"/>
      <c r="Q47" s="66" t="s">
        <v>109</v>
      </c>
      <c r="R47" s="336" t="s">
        <v>143</v>
      </c>
      <c r="S47" s="337"/>
      <c r="T47" s="337"/>
      <c r="U47" s="338"/>
      <c r="V47" s="10"/>
      <c r="W47" s="10"/>
      <c r="X47" s="250" t="str">
        <f>(E135)</f>
        <v>Entrepreneurship 2-Day Seminar</v>
      </c>
      <c r="Y47" s="251"/>
      <c r="Z47" s="349" t="s">
        <v>160</v>
      </c>
      <c r="AA47" s="307"/>
      <c r="AB47" s="307"/>
      <c r="AC47" s="307"/>
      <c r="AD47" s="307"/>
      <c r="AE47" s="307"/>
      <c r="AF47" s="307"/>
      <c r="AG47" s="350"/>
      <c r="AH47" s="259" t="str">
        <f>(E136)</f>
        <v>Career &amp; Credential Exploration 2 Day Seminar</v>
      </c>
      <c r="AI47" s="260"/>
      <c r="AL47" s="47"/>
      <c r="AM47" s="23"/>
      <c r="AN47" s="24"/>
      <c r="AP47" s="126"/>
    </row>
    <row r="48" spans="2:42" ht="30" thickBot="1" x14ac:dyDescent="0.45">
      <c r="B48" s="244"/>
      <c r="C48" s="244"/>
      <c r="D48" s="179"/>
      <c r="E48" s="4"/>
      <c r="F48" s="1"/>
      <c r="G48" s="1"/>
      <c r="H48" s="10"/>
      <c r="I48" s="10"/>
      <c r="J48" s="1"/>
      <c r="K48" s="90" t="str">
        <f>(E133)</f>
        <v>Pre Separation Brief</v>
      </c>
      <c r="L48" s="1"/>
      <c r="M48" s="1"/>
      <c r="N48" s="1"/>
      <c r="O48" s="10"/>
      <c r="P48" s="10"/>
      <c r="Q48" s="245" t="str">
        <f>(E134)</f>
        <v>Three-Day Transition Workshop</v>
      </c>
      <c r="R48" s="246"/>
      <c r="S48" s="247"/>
      <c r="T48" s="248" t="str">
        <f>(E137)</f>
        <v>Employment 2 Day Seminar</v>
      </c>
      <c r="U48" s="249"/>
      <c r="V48" s="10"/>
      <c r="W48" s="10"/>
      <c r="X48" s="1"/>
      <c r="Y48" s="1"/>
      <c r="Z48" s="1"/>
      <c r="AA48" s="1"/>
      <c r="AB48" s="1"/>
      <c r="AC48" s="10"/>
      <c r="AD48" s="10"/>
      <c r="AE48" s="1"/>
      <c r="AF48" s="90" t="str">
        <f>(E133)</f>
        <v>Pre Separation Brief</v>
      </c>
      <c r="AG48" s="1"/>
      <c r="AH48" s="1"/>
      <c r="AI48" s="5"/>
      <c r="AL48" s="47"/>
      <c r="AM48" s="23"/>
      <c r="AN48" s="24"/>
      <c r="AP48" s="126"/>
    </row>
    <row r="49" spans="2:95" ht="30" thickBot="1" x14ac:dyDescent="0.45">
      <c r="B49" s="244"/>
      <c r="C49" s="244"/>
      <c r="D49" s="179"/>
      <c r="E49" s="6"/>
      <c r="F49" s="7"/>
      <c r="G49" s="22" t="s">
        <v>3</v>
      </c>
      <c r="H49" s="11"/>
      <c r="I49" s="11"/>
      <c r="J49" s="7"/>
      <c r="K49" s="7"/>
      <c r="L49" s="7"/>
      <c r="M49" s="7"/>
      <c r="N49" s="7"/>
      <c r="O49" s="11"/>
      <c r="P49" s="11"/>
      <c r="Q49" s="7"/>
      <c r="R49" s="7"/>
      <c r="S49" s="7"/>
      <c r="T49" s="76"/>
      <c r="U49" s="77"/>
      <c r="V49" s="11"/>
      <c r="W49" s="11"/>
      <c r="X49" s="7"/>
      <c r="Y49" s="7"/>
      <c r="Z49" s="7"/>
      <c r="AA49" s="7"/>
      <c r="AB49" s="7"/>
      <c r="AC49" s="11"/>
      <c r="AD49" s="11"/>
      <c r="AE49" s="161"/>
      <c r="AF49" s="7"/>
      <c r="AG49" s="7"/>
      <c r="AH49" s="7"/>
      <c r="AI49" s="7"/>
      <c r="AL49" s="47"/>
      <c r="AM49" s="23"/>
      <c r="AN49" s="29">
        <v>8</v>
      </c>
      <c r="AP49" s="126">
        <f>SUM(AP43-AN49)</f>
        <v>10</v>
      </c>
    </row>
    <row r="50" spans="2:95" ht="30" thickBot="1" x14ac:dyDescent="0.45">
      <c r="B50" s="244"/>
      <c r="C50" s="244"/>
      <c r="D50" s="179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7"/>
      <c r="AP50" s="126"/>
    </row>
    <row r="51" spans="2:95" ht="29.25" x14ac:dyDescent="0.4">
      <c r="B51" s="244"/>
      <c r="C51" s="244"/>
      <c r="D51" s="179"/>
      <c r="E51" s="194">
        <v>46235</v>
      </c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6"/>
      <c r="AK51" s="162" t="s">
        <v>54</v>
      </c>
      <c r="AL51" s="47">
        <f>SUM(AL45+2.5-AN49)</f>
        <v>66.5</v>
      </c>
      <c r="AM51" s="23"/>
      <c r="AN51" s="24"/>
      <c r="AP51" s="126"/>
    </row>
    <row r="52" spans="2:95" ht="30" thickBot="1" x14ac:dyDescent="0.45">
      <c r="B52" s="244"/>
      <c r="C52" s="244"/>
      <c r="D52" s="179"/>
      <c r="E52" s="12">
        <v>1</v>
      </c>
      <c r="F52" s="10">
        <v>2</v>
      </c>
      <c r="G52" s="1">
        <v>3</v>
      </c>
      <c r="H52" s="1">
        <v>4</v>
      </c>
      <c r="I52" s="1">
        <v>5</v>
      </c>
      <c r="J52" s="1">
        <v>6</v>
      </c>
      <c r="K52" s="1">
        <v>7</v>
      </c>
      <c r="L52" s="10">
        <v>8</v>
      </c>
      <c r="M52" s="10">
        <v>9</v>
      </c>
      <c r="N52" s="1">
        <v>10</v>
      </c>
      <c r="O52" s="1">
        <v>11</v>
      </c>
      <c r="P52" s="1">
        <v>12</v>
      </c>
      <c r="Q52" s="1">
        <v>13</v>
      </c>
      <c r="R52" s="1">
        <v>14</v>
      </c>
      <c r="S52" s="10">
        <v>15</v>
      </c>
      <c r="T52" s="10">
        <v>16</v>
      </c>
      <c r="U52" s="1">
        <v>17</v>
      </c>
      <c r="V52" s="1">
        <v>18</v>
      </c>
      <c r="W52" s="1">
        <v>19</v>
      </c>
      <c r="X52" s="1">
        <v>20</v>
      </c>
      <c r="Y52" s="1">
        <v>21</v>
      </c>
      <c r="Z52" s="10">
        <v>22</v>
      </c>
      <c r="AA52" s="10">
        <v>23</v>
      </c>
      <c r="AB52" s="1">
        <v>24</v>
      </c>
      <c r="AC52" s="1">
        <v>25</v>
      </c>
      <c r="AD52" s="1">
        <v>26</v>
      </c>
      <c r="AE52" s="1">
        <v>27</v>
      </c>
      <c r="AF52" s="1">
        <v>28</v>
      </c>
      <c r="AG52" s="10">
        <v>29</v>
      </c>
      <c r="AH52" s="10">
        <v>30</v>
      </c>
      <c r="AI52" s="5">
        <v>31</v>
      </c>
      <c r="AJ52" s="56"/>
      <c r="AK52" s="56"/>
      <c r="AL52" s="47"/>
      <c r="AM52" s="23"/>
      <c r="AN52" s="24"/>
      <c r="AP52" s="126"/>
    </row>
    <row r="53" spans="2:95" ht="30" thickBot="1" x14ac:dyDescent="0.45">
      <c r="B53" s="244"/>
      <c r="C53" s="244"/>
      <c r="D53" s="179"/>
      <c r="E53" s="74"/>
      <c r="F53" s="10"/>
      <c r="G53" s="307" t="s">
        <v>108</v>
      </c>
      <c r="H53" s="307"/>
      <c r="I53" s="307"/>
      <c r="J53" s="307"/>
      <c r="K53" s="307"/>
      <c r="L53" s="74"/>
      <c r="M53" s="10"/>
      <c r="N53" s="170" t="s">
        <v>148</v>
      </c>
      <c r="O53" s="90" t="str">
        <f>(E132)</f>
        <v>Initial Individual Counseling</v>
      </c>
      <c r="P53" s="170" t="s">
        <v>148</v>
      </c>
      <c r="Q53" s="253" t="str">
        <f>(E138)</f>
        <v>Education  2 Day Seminar</v>
      </c>
      <c r="R53" s="254"/>
      <c r="S53" s="74"/>
      <c r="T53" s="10"/>
      <c r="U53" s="255" t="str">
        <f>(E134)</f>
        <v>Three-Day Transition Workshop</v>
      </c>
      <c r="V53" s="256"/>
      <c r="W53" s="256"/>
      <c r="X53" s="257" t="str">
        <f>(E137)</f>
        <v>Employment 2 Day Seminar</v>
      </c>
      <c r="Y53" s="258"/>
      <c r="Z53" s="74"/>
      <c r="AA53" s="10"/>
      <c r="AB53" s="349" t="s">
        <v>150</v>
      </c>
      <c r="AC53" s="307"/>
      <c r="AD53" s="307"/>
      <c r="AE53" s="307"/>
      <c r="AF53" s="307"/>
      <c r="AG53" s="307"/>
      <c r="AH53" s="307"/>
      <c r="AI53" s="350"/>
      <c r="AJ53" s="162">
        <v>3</v>
      </c>
      <c r="AL53" s="47"/>
      <c r="AM53" s="23"/>
      <c r="AN53" s="24"/>
      <c r="AP53" s="126"/>
    </row>
    <row r="54" spans="2:95" ht="30" thickBot="1" x14ac:dyDescent="0.45">
      <c r="B54" s="244"/>
      <c r="C54" s="244"/>
      <c r="D54" s="179"/>
      <c r="E54" s="12"/>
      <c r="F54" s="10"/>
      <c r="G54" s="1"/>
      <c r="H54" s="90" t="str">
        <f>(E133)</f>
        <v>Pre Separation Brief</v>
      </c>
      <c r="I54" s="1"/>
      <c r="J54" s="1"/>
      <c r="K54" s="1"/>
      <c r="L54" s="10"/>
      <c r="M54" s="10"/>
      <c r="N54" s="1"/>
      <c r="O54" s="170" t="s">
        <v>148</v>
      </c>
      <c r="P54" s="1"/>
      <c r="Q54" s="1"/>
      <c r="R54" s="1"/>
      <c r="S54" s="10"/>
      <c r="T54" s="75"/>
      <c r="U54" s="1"/>
      <c r="V54" s="1"/>
      <c r="W54" s="1"/>
      <c r="X54" s="1"/>
      <c r="Y54" s="1"/>
      <c r="Z54" s="74"/>
      <c r="AA54" s="10"/>
      <c r="AB54" s="1"/>
      <c r="AC54" s="1"/>
      <c r="AD54" s="1"/>
      <c r="AE54" s="1"/>
      <c r="AF54" s="1"/>
      <c r="AG54" s="10"/>
      <c r="AH54" s="10"/>
      <c r="AI54" s="5"/>
      <c r="AL54" s="47"/>
      <c r="AM54" s="23"/>
      <c r="AN54" s="24"/>
      <c r="AP54" s="126"/>
    </row>
    <row r="55" spans="2:95" ht="30" thickBot="1" x14ac:dyDescent="0.45">
      <c r="B55" s="244"/>
      <c r="C55" s="244"/>
      <c r="D55" s="179"/>
      <c r="E55" s="13"/>
      <c r="F55" s="11"/>
      <c r="G55" s="7"/>
      <c r="H55" s="7"/>
      <c r="I55" s="7"/>
      <c r="J55" s="7"/>
      <c r="K55" s="7"/>
      <c r="L55" s="11"/>
      <c r="M55" s="301" t="s">
        <v>106</v>
      </c>
      <c r="N55" s="302"/>
      <c r="O55" s="302"/>
      <c r="P55" s="302"/>
      <c r="Q55" s="302"/>
      <c r="R55" s="302"/>
      <c r="S55" s="303"/>
      <c r="T55" s="11"/>
      <c r="U55" s="73"/>
      <c r="V55" s="73"/>
      <c r="W55" s="73"/>
      <c r="X55" s="73"/>
      <c r="Y55" s="73"/>
      <c r="Z55" s="11"/>
      <c r="AA55" s="11"/>
      <c r="AB55" s="7"/>
      <c r="AC55" s="7"/>
      <c r="AD55" s="7"/>
      <c r="AE55" s="7"/>
      <c r="AF55" s="7"/>
      <c r="AG55" s="11"/>
      <c r="AH55" s="11"/>
      <c r="AI55" s="8"/>
      <c r="AL55" s="47"/>
      <c r="AM55" s="23"/>
      <c r="AN55" s="29">
        <v>13</v>
      </c>
      <c r="AP55" s="126">
        <f>SUM(AP49-AN55)</f>
        <v>-3</v>
      </c>
    </row>
    <row r="56" spans="2:95" ht="30" thickBot="1" x14ac:dyDescent="0.45">
      <c r="B56" s="244"/>
      <c r="C56" s="244"/>
      <c r="D56" s="179"/>
      <c r="AL56" s="47"/>
      <c r="AM56" s="23"/>
      <c r="AN56" s="24"/>
      <c r="AP56" s="126"/>
    </row>
    <row r="57" spans="2:95" ht="29.25" x14ac:dyDescent="0.4">
      <c r="B57" s="244"/>
      <c r="C57" s="244"/>
      <c r="D57" s="179"/>
      <c r="E57" s="194">
        <v>46266</v>
      </c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6"/>
      <c r="AK57" s="162" t="s">
        <v>55</v>
      </c>
      <c r="AL57" s="47">
        <f>SUM(AL51+2.5-AN55)</f>
        <v>56</v>
      </c>
      <c r="AM57" s="23"/>
      <c r="AN57" s="24"/>
      <c r="AP57" s="126"/>
    </row>
    <row r="58" spans="2:95" ht="29.25" x14ac:dyDescent="0.4">
      <c r="B58" s="244"/>
      <c r="C58" s="244"/>
      <c r="D58" s="179"/>
      <c r="E58" s="4">
        <v>1</v>
      </c>
      <c r="F58" s="1">
        <v>2</v>
      </c>
      <c r="G58" s="1">
        <v>3</v>
      </c>
      <c r="H58" s="1">
        <v>4</v>
      </c>
      <c r="I58" s="10">
        <v>5</v>
      </c>
      <c r="J58" s="10">
        <v>6</v>
      </c>
      <c r="K58" s="1">
        <v>7</v>
      </c>
      <c r="L58" s="1">
        <v>8</v>
      </c>
      <c r="M58" s="1">
        <v>9</v>
      </c>
      <c r="N58" s="1">
        <v>10</v>
      </c>
      <c r="O58" s="1">
        <v>11</v>
      </c>
      <c r="P58" s="10">
        <v>12</v>
      </c>
      <c r="Q58" s="10">
        <v>13</v>
      </c>
      <c r="R58" s="1">
        <v>14</v>
      </c>
      <c r="S58" s="1">
        <v>15</v>
      </c>
      <c r="T58" s="1">
        <v>16</v>
      </c>
      <c r="U58" s="1">
        <v>17</v>
      </c>
      <c r="V58" s="1">
        <v>18</v>
      </c>
      <c r="W58" s="10">
        <v>19</v>
      </c>
      <c r="X58" s="10">
        <v>20</v>
      </c>
      <c r="Y58" s="1">
        <v>21</v>
      </c>
      <c r="Z58" s="1">
        <v>22</v>
      </c>
      <c r="AA58" s="1">
        <v>23</v>
      </c>
      <c r="AB58" s="1">
        <v>24</v>
      </c>
      <c r="AC58" s="1">
        <v>25</v>
      </c>
      <c r="AD58" s="10">
        <v>26</v>
      </c>
      <c r="AE58" s="10">
        <v>27</v>
      </c>
      <c r="AF58" s="1">
        <v>28</v>
      </c>
      <c r="AG58" s="1">
        <v>29</v>
      </c>
      <c r="AH58" s="1">
        <v>30</v>
      </c>
      <c r="AI58" s="5"/>
      <c r="AL58" s="47"/>
      <c r="AM58" s="23"/>
      <c r="AN58" s="24"/>
      <c r="AP58" s="126"/>
    </row>
    <row r="59" spans="2:95" ht="29.25" x14ac:dyDescent="0.4">
      <c r="B59" s="244"/>
      <c r="C59" s="244"/>
      <c r="D59" s="179"/>
      <c r="E59" s="263" t="s">
        <v>151</v>
      </c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263"/>
      <c r="AH59" s="309"/>
      <c r="AI59" s="5"/>
      <c r="AJ59" s="162">
        <v>0</v>
      </c>
      <c r="AL59" s="47"/>
      <c r="AM59" s="23"/>
      <c r="AN59" s="24"/>
      <c r="AP59" s="126"/>
    </row>
    <row r="60" spans="2:95" ht="30" thickBot="1" x14ac:dyDescent="0.45">
      <c r="B60" s="244"/>
      <c r="C60" s="244"/>
      <c r="D60" s="179"/>
      <c r="E60" s="78"/>
      <c r="F60" s="78"/>
      <c r="G60" s="78"/>
      <c r="H60" s="78"/>
      <c r="I60" s="80"/>
      <c r="J60" s="80"/>
      <c r="K60" s="78"/>
      <c r="L60" s="95" t="str">
        <f>(E132)</f>
        <v>Initial Individual Counseling</v>
      </c>
      <c r="M60" s="96"/>
      <c r="N60" s="99"/>
      <c r="O60" s="99"/>
      <c r="P60" s="97"/>
      <c r="Q60" s="85"/>
      <c r="R60" s="288" t="str">
        <f>(E134)</f>
        <v>Three-Day Transition Workshop</v>
      </c>
      <c r="S60" s="289"/>
      <c r="T60" s="290"/>
      <c r="U60" s="304" t="str">
        <f>(E136)</f>
        <v>Career &amp; Credential Exploration 2 Day Seminar</v>
      </c>
      <c r="V60" s="305"/>
      <c r="W60" s="85"/>
      <c r="X60" s="85"/>
      <c r="Y60" s="84"/>
      <c r="Z60" s="84"/>
      <c r="AA60" s="84"/>
      <c r="AB60" s="84"/>
      <c r="AC60" s="84"/>
      <c r="AD60" s="85"/>
      <c r="AE60" s="85"/>
      <c r="AF60" s="84"/>
      <c r="AG60" s="95" t="str">
        <f>(E132)</f>
        <v>Initial Individual Counseling</v>
      </c>
      <c r="AH60" s="84"/>
      <c r="AI60" s="147"/>
      <c r="AL60" s="47"/>
      <c r="AM60" s="23"/>
      <c r="AN60" s="27"/>
      <c r="AP60" s="126"/>
    </row>
    <row r="61" spans="2:95" ht="30" thickBot="1" x14ac:dyDescent="0.45">
      <c r="B61" s="244"/>
      <c r="C61" s="244"/>
      <c r="D61" s="179"/>
      <c r="E61" s="72"/>
      <c r="F61" s="73"/>
      <c r="G61" s="73"/>
      <c r="H61" s="73"/>
      <c r="I61" s="79"/>
      <c r="J61" s="79"/>
      <c r="K61" s="142" t="s">
        <v>83</v>
      </c>
      <c r="L61" s="81"/>
      <c r="M61" s="81"/>
      <c r="N61" s="98"/>
      <c r="O61" s="98"/>
      <c r="P61" s="82"/>
      <c r="Q61" s="82"/>
      <c r="R61" s="81"/>
      <c r="S61" s="81"/>
      <c r="T61" s="88" t="str">
        <f>(E140)</f>
        <v>VA Individual Appointments</v>
      </c>
      <c r="U61" s="81"/>
      <c r="V61" s="81"/>
      <c r="W61" s="82"/>
      <c r="X61" s="82"/>
      <c r="Y61" s="81"/>
      <c r="Z61" s="81"/>
      <c r="AA61" s="81"/>
      <c r="AB61" s="81"/>
      <c r="AC61" s="81"/>
      <c r="AD61" s="82"/>
      <c r="AE61" s="82"/>
      <c r="AF61" s="81"/>
      <c r="AG61" s="81"/>
      <c r="AH61" s="81"/>
      <c r="AI61" s="83"/>
      <c r="AL61" s="47"/>
      <c r="AM61" s="26"/>
      <c r="AN61" s="29">
        <v>30</v>
      </c>
      <c r="AP61" s="126">
        <f>SUM(AP55-AN61)</f>
        <v>-33</v>
      </c>
    </row>
    <row r="62" spans="2:95" ht="15.75" thickBot="1" x14ac:dyDescent="0.25">
      <c r="B62" s="244"/>
      <c r="C62" s="244"/>
      <c r="D62" s="179"/>
      <c r="AL62" s="47"/>
      <c r="AM62" s="23"/>
      <c r="AN62" s="28"/>
    </row>
    <row r="63" spans="2:95" x14ac:dyDescent="0.2">
      <c r="B63" s="244"/>
      <c r="C63" s="244"/>
      <c r="D63" s="179"/>
      <c r="E63" s="194">
        <v>46296</v>
      </c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6"/>
      <c r="AK63" s="162" t="s">
        <v>56</v>
      </c>
      <c r="AL63" s="47">
        <f>SUM(AL57+2.5-AN61)</f>
        <v>28.5</v>
      </c>
      <c r="AM63" s="23"/>
      <c r="AN63" s="24"/>
    </row>
    <row r="64" spans="2:95" x14ac:dyDescent="0.2">
      <c r="B64" s="244"/>
      <c r="C64" s="244"/>
      <c r="D64" s="179"/>
      <c r="E64" s="4">
        <v>1</v>
      </c>
      <c r="F64" s="1">
        <v>2</v>
      </c>
      <c r="G64" s="10">
        <v>3</v>
      </c>
      <c r="H64" s="10">
        <v>4</v>
      </c>
      <c r="I64" s="1">
        <v>5</v>
      </c>
      <c r="J64" s="1">
        <v>6</v>
      </c>
      <c r="K64" s="1">
        <v>7</v>
      </c>
      <c r="L64" s="1">
        <v>8</v>
      </c>
      <c r="M64" s="1">
        <v>9</v>
      </c>
      <c r="N64" s="10">
        <v>10</v>
      </c>
      <c r="O64" s="10">
        <v>11</v>
      </c>
      <c r="P64" s="1">
        <v>12</v>
      </c>
      <c r="Q64" s="1">
        <v>13</v>
      </c>
      <c r="R64" s="1">
        <v>14</v>
      </c>
      <c r="S64" s="1">
        <v>15</v>
      </c>
      <c r="T64" s="1">
        <v>16</v>
      </c>
      <c r="U64" s="10">
        <v>17</v>
      </c>
      <c r="V64" s="10">
        <v>18</v>
      </c>
      <c r="W64" s="1">
        <v>19</v>
      </c>
      <c r="X64" s="1">
        <v>20</v>
      </c>
      <c r="Y64" s="1">
        <v>21</v>
      </c>
      <c r="Z64" s="1">
        <v>22</v>
      </c>
      <c r="AA64" s="1">
        <v>23</v>
      </c>
      <c r="AB64" s="10">
        <v>24</v>
      </c>
      <c r="AC64" s="10">
        <v>25</v>
      </c>
      <c r="AD64" s="1">
        <v>26</v>
      </c>
      <c r="AE64" s="1">
        <v>27</v>
      </c>
      <c r="AF64" s="1">
        <v>28</v>
      </c>
      <c r="AG64" s="1">
        <v>29</v>
      </c>
      <c r="AH64" s="1">
        <v>30</v>
      </c>
      <c r="AI64" s="14">
        <v>31</v>
      </c>
      <c r="AJ64" s="56"/>
      <c r="AK64" s="56"/>
      <c r="AL64" s="47"/>
      <c r="AM64" s="23"/>
      <c r="AN64" s="24"/>
      <c r="BM64" s="262" t="s">
        <v>0</v>
      </c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</row>
    <row r="65" spans="1:95" ht="21.75" thickBot="1" x14ac:dyDescent="0.35">
      <c r="B65" s="244"/>
      <c r="C65" s="244"/>
      <c r="D65" s="179"/>
      <c r="E65" s="339" t="s">
        <v>158</v>
      </c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  <c r="AC65" s="339"/>
      <c r="AD65" s="339"/>
      <c r="AE65" s="339"/>
      <c r="AF65" s="339"/>
      <c r="AG65" s="339"/>
      <c r="AH65" s="339"/>
      <c r="AI65" s="340"/>
      <c r="AJ65" s="56">
        <v>0</v>
      </c>
      <c r="AK65" s="56"/>
      <c r="AL65" s="47"/>
      <c r="AM65" s="23"/>
      <c r="AN65" s="24"/>
      <c r="BM65">
        <v>1</v>
      </c>
      <c r="BN65">
        <v>2</v>
      </c>
      <c r="BO65">
        <v>3</v>
      </c>
      <c r="BP65">
        <v>4</v>
      </c>
      <c r="BQ65">
        <v>5</v>
      </c>
      <c r="BR65">
        <v>6</v>
      </c>
      <c r="BS65">
        <v>7</v>
      </c>
      <c r="BT65">
        <v>8</v>
      </c>
      <c r="BU65">
        <v>9</v>
      </c>
      <c r="BV65">
        <v>10</v>
      </c>
      <c r="BW65">
        <v>11</v>
      </c>
      <c r="BX65">
        <v>12</v>
      </c>
      <c r="BY65">
        <v>13</v>
      </c>
      <c r="BZ65">
        <v>14</v>
      </c>
      <c r="CA65">
        <v>15</v>
      </c>
      <c r="CB65">
        <v>16</v>
      </c>
      <c r="CC65">
        <v>17</v>
      </c>
      <c r="CD65">
        <v>18</v>
      </c>
      <c r="CE65">
        <v>19</v>
      </c>
      <c r="CF65">
        <v>20</v>
      </c>
      <c r="CG65">
        <v>21</v>
      </c>
      <c r="CH65">
        <v>22</v>
      </c>
      <c r="CI65">
        <v>23</v>
      </c>
      <c r="CJ65">
        <v>24</v>
      </c>
      <c r="CK65">
        <v>25</v>
      </c>
      <c r="CL65">
        <v>26</v>
      </c>
      <c r="CM65">
        <v>27</v>
      </c>
      <c r="CN65">
        <v>28</v>
      </c>
      <c r="CO65">
        <v>29</v>
      </c>
      <c r="CP65">
        <v>30</v>
      </c>
      <c r="CQ65">
        <v>31</v>
      </c>
    </row>
    <row r="66" spans="1:95" ht="15.75" thickBot="1" x14ac:dyDescent="0.25">
      <c r="B66" s="244"/>
      <c r="C66" s="244"/>
      <c r="D66" s="179"/>
      <c r="E66" s="4"/>
      <c r="F66" s="1"/>
      <c r="G66" s="10"/>
      <c r="H66" s="10"/>
      <c r="I66" s="250" t="str">
        <f>(E135)</f>
        <v>Entrepreneurship 2-Day Seminar</v>
      </c>
      <c r="J66" s="251"/>
      <c r="K66" s="1"/>
      <c r="L66" s="1"/>
      <c r="M66" s="1"/>
      <c r="N66" s="10"/>
      <c r="O66" s="10"/>
      <c r="P66" s="1"/>
      <c r="Q66" s="1"/>
      <c r="R66" s="1"/>
      <c r="S66" s="1"/>
      <c r="T66" s="1"/>
      <c r="U66" s="10"/>
      <c r="V66" s="10"/>
      <c r="W66" s="288" t="str">
        <f>(E134)</f>
        <v>Three-Day Transition Workshop</v>
      </c>
      <c r="X66" s="289"/>
      <c r="Y66" s="290"/>
      <c r="Z66" s="257" t="str">
        <f>(E137)</f>
        <v>Employment 2 Day Seminar</v>
      </c>
      <c r="AA66" s="258"/>
      <c r="AB66" s="10"/>
      <c r="AC66" s="10"/>
      <c r="AD66" s="1"/>
      <c r="AE66" s="93" t="str">
        <f>(E133)</f>
        <v>Pre Separation Brief</v>
      </c>
      <c r="AF66" s="1"/>
      <c r="AG66" s="94" t="str">
        <f>(E138)</f>
        <v>Education  2 Day Seminar</v>
      </c>
      <c r="AH66" s="1"/>
      <c r="AI66" s="14"/>
      <c r="AL66" s="47"/>
      <c r="AM66" s="23"/>
      <c r="AN66" s="27"/>
    </row>
    <row r="67" spans="1:95" ht="15.75" thickBot="1" x14ac:dyDescent="0.25">
      <c r="B67" s="244"/>
      <c r="C67" s="244"/>
      <c r="D67" s="179"/>
      <c r="E67" s="4"/>
      <c r="F67" s="1"/>
      <c r="G67" s="10"/>
      <c r="H67" s="10"/>
      <c r="I67" s="1"/>
      <c r="J67" s="1"/>
      <c r="K67" s="1"/>
      <c r="L67" s="1"/>
      <c r="M67" s="70" t="s">
        <v>29</v>
      </c>
      <c r="N67" s="10"/>
      <c r="O67" s="10"/>
      <c r="P67" s="143" t="s">
        <v>84</v>
      </c>
      <c r="Q67" s="1"/>
      <c r="R67" s="1"/>
      <c r="S67" s="1"/>
      <c r="T67" s="1"/>
      <c r="U67" s="10"/>
      <c r="V67" s="10"/>
      <c r="W67" s="1"/>
      <c r="X67" s="1"/>
      <c r="Y67" s="88" t="str">
        <f>(E140)</f>
        <v>VA Individual Appointments</v>
      </c>
      <c r="Z67" s="1"/>
      <c r="AA67" s="1" t="s">
        <v>110</v>
      </c>
      <c r="AB67" s="10"/>
      <c r="AC67" s="10"/>
      <c r="AD67" s="1"/>
      <c r="AE67" s="1"/>
      <c r="AF67" s="1"/>
      <c r="AG67" s="1"/>
      <c r="AH67" s="1"/>
      <c r="AI67" s="15"/>
      <c r="AL67" s="47"/>
      <c r="AM67" s="26"/>
      <c r="AN67" s="29">
        <v>0</v>
      </c>
    </row>
    <row r="68" spans="1:95" ht="15.75" thickBot="1" x14ac:dyDescent="0.25">
      <c r="B68" s="244"/>
      <c r="C68" s="244"/>
      <c r="D68" s="17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L68" s="47"/>
      <c r="AM68" s="23"/>
      <c r="AN68" s="28"/>
    </row>
    <row r="69" spans="1:95" ht="15.75" thickBot="1" x14ac:dyDescent="0.25">
      <c r="B69" s="244"/>
      <c r="C69" s="244"/>
      <c r="D69" s="179"/>
      <c r="E69" s="190">
        <v>46327</v>
      </c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2"/>
      <c r="AH69" s="192"/>
      <c r="AI69" s="193"/>
      <c r="AK69" s="162" t="s">
        <v>57</v>
      </c>
      <c r="AL69" s="47">
        <f>SUM(AL63+2.5-AN67)</f>
        <v>31</v>
      </c>
      <c r="AM69" s="23"/>
      <c r="AN69" s="24"/>
    </row>
    <row r="70" spans="1:95" x14ac:dyDescent="0.2">
      <c r="B70" s="244"/>
      <c r="C70" s="244"/>
      <c r="D70" s="179"/>
      <c r="E70" s="120">
        <v>1</v>
      </c>
      <c r="F70" s="57">
        <v>2</v>
      </c>
      <c r="G70" s="57">
        <v>3</v>
      </c>
      <c r="H70" s="57">
        <v>4</v>
      </c>
      <c r="I70" s="57">
        <v>5</v>
      </c>
      <c r="J70" s="57">
        <v>6</v>
      </c>
      <c r="K70" s="58">
        <v>7</v>
      </c>
      <c r="L70" s="58">
        <v>8</v>
      </c>
      <c r="M70" s="57">
        <v>9</v>
      </c>
      <c r="N70" s="57">
        <v>10</v>
      </c>
      <c r="O70" s="57">
        <v>11</v>
      </c>
      <c r="P70" s="57">
        <v>12</v>
      </c>
      <c r="Q70" s="57">
        <v>13</v>
      </c>
      <c r="R70" s="58">
        <v>14</v>
      </c>
      <c r="S70" s="58">
        <v>15</v>
      </c>
      <c r="T70" s="57">
        <v>16</v>
      </c>
      <c r="U70" s="57">
        <v>17</v>
      </c>
      <c r="V70" s="57">
        <v>18</v>
      </c>
      <c r="W70" s="57">
        <v>19</v>
      </c>
      <c r="X70" s="57">
        <v>20</v>
      </c>
      <c r="Y70" s="58">
        <v>21</v>
      </c>
      <c r="Z70" s="58">
        <v>22</v>
      </c>
      <c r="AA70" s="57">
        <v>23</v>
      </c>
      <c r="AB70" s="57">
        <v>24</v>
      </c>
      <c r="AC70" s="68">
        <v>25</v>
      </c>
      <c r="AD70" s="68">
        <v>26</v>
      </c>
      <c r="AE70" s="68">
        <v>27</v>
      </c>
      <c r="AF70" s="69">
        <v>28</v>
      </c>
      <c r="AG70" s="69">
        <v>29</v>
      </c>
      <c r="AH70" s="64">
        <v>30</v>
      </c>
      <c r="AI70" s="3"/>
      <c r="AJ70" s="56"/>
      <c r="AK70" s="56"/>
      <c r="AL70" s="47"/>
      <c r="AM70" s="23"/>
      <c r="AN70" s="24"/>
    </row>
    <row r="71" spans="1:95" ht="21" x14ac:dyDescent="0.3">
      <c r="A71" s="67"/>
      <c r="B71" s="244"/>
      <c r="C71" s="244"/>
      <c r="D71" s="179"/>
      <c r="E71" s="341" t="s">
        <v>157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57"/>
      <c r="AI71" s="5"/>
      <c r="AJ71" s="162">
        <v>0</v>
      </c>
      <c r="AL71" s="47"/>
      <c r="AM71" s="23"/>
      <c r="AN71" s="24"/>
    </row>
    <row r="72" spans="1:95" ht="15.75" thickBot="1" x14ac:dyDescent="0.25">
      <c r="B72" s="244"/>
      <c r="C72" s="244"/>
      <c r="D72" s="179"/>
      <c r="E72" s="121"/>
      <c r="F72" s="59"/>
      <c r="G72" s="59"/>
      <c r="H72" s="59"/>
      <c r="I72" s="59"/>
      <c r="J72" s="59"/>
      <c r="K72" s="60"/>
      <c r="L72" s="60"/>
      <c r="M72" s="59"/>
      <c r="N72" s="59"/>
      <c r="O72" s="59"/>
      <c r="P72" s="298" t="str">
        <f>(E136)</f>
        <v>Career &amp; Credential Exploration 2 Day Seminar</v>
      </c>
      <c r="Q72" s="299"/>
      <c r="R72" s="60"/>
      <c r="S72" s="60"/>
      <c r="T72" s="295" t="str">
        <f>(E134)</f>
        <v>Three-Day Transition Workshop</v>
      </c>
      <c r="U72" s="296"/>
      <c r="V72" s="297"/>
      <c r="W72" s="280" t="str">
        <f>(E137)</f>
        <v>Employment 2 Day Seminar</v>
      </c>
      <c r="X72" s="281"/>
      <c r="Y72" s="60"/>
      <c r="Z72" s="60"/>
      <c r="AA72" s="282" t="s">
        <v>80</v>
      </c>
      <c r="AB72" s="283"/>
      <c r="AC72" s="283"/>
      <c r="AD72" s="283"/>
      <c r="AE72" s="300"/>
      <c r="AF72" s="60"/>
      <c r="AG72" s="60"/>
      <c r="AH72" s="1"/>
      <c r="AI72" s="5"/>
      <c r="AL72" s="47"/>
      <c r="AM72" s="23"/>
      <c r="AN72" s="27"/>
    </row>
    <row r="73" spans="1:95" ht="15.75" thickBot="1" x14ac:dyDescent="0.25">
      <c r="B73" s="244"/>
      <c r="C73" s="244"/>
      <c r="D73" s="179"/>
      <c r="E73" s="13"/>
      <c r="F73" s="7"/>
      <c r="G73" s="92" t="str">
        <f>(E133)</f>
        <v>Pre Separation Brief</v>
      </c>
      <c r="H73" s="7"/>
      <c r="I73" s="7"/>
      <c r="J73" s="7"/>
      <c r="K73" s="11"/>
      <c r="L73" s="11"/>
      <c r="M73" s="7"/>
      <c r="N73" s="143" t="s">
        <v>111</v>
      </c>
      <c r="O73" s="143" t="s">
        <v>85</v>
      </c>
      <c r="P73" s="7"/>
      <c r="Q73" s="7"/>
      <c r="R73" s="11"/>
      <c r="S73" s="11"/>
      <c r="T73" s="7"/>
      <c r="U73" s="7"/>
      <c r="V73" s="89" t="str">
        <f>(E140)</f>
        <v>VA Individual Appointments</v>
      </c>
      <c r="W73" s="7"/>
      <c r="X73" s="7"/>
      <c r="Y73" s="11"/>
      <c r="Z73" s="11"/>
      <c r="AA73" s="7"/>
      <c r="AB73" s="139" t="str">
        <f>(E133)</f>
        <v>Pre Separation Brief</v>
      </c>
      <c r="AC73" s="7"/>
      <c r="AD73" s="143" t="s">
        <v>2</v>
      </c>
      <c r="AE73" s="143"/>
      <c r="AF73" s="11"/>
      <c r="AG73" s="11"/>
      <c r="AH73" s="7"/>
      <c r="AI73" s="8"/>
      <c r="AL73" s="47"/>
      <c r="AM73" s="26"/>
      <c r="AN73" s="29">
        <v>7</v>
      </c>
    </row>
    <row r="74" spans="1:95" ht="15.75" thickBot="1" x14ac:dyDescent="0.25">
      <c r="B74" s="244"/>
      <c r="C74" s="244"/>
      <c r="D74" s="17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L74" s="47"/>
      <c r="AM74" s="23"/>
      <c r="AN74" s="28"/>
    </row>
    <row r="75" spans="1:95" x14ac:dyDescent="0.2">
      <c r="B75" s="244"/>
      <c r="C75" s="244"/>
      <c r="D75" s="179"/>
      <c r="E75" s="217">
        <v>46357</v>
      </c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9"/>
      <c r="AH75" s="219"/>
      <c r="AI75" s="220"/>
      <c r="AK75" s="162" t="s">
        <v>58</v>
      </c>
      <c r="AL75" s="47">
        <f>SUM(AL69+2.5-AN73)</f>
        <v>26.5</v>
      </c>
      <c r="AM75" s="23"/>
      <c r="AN75" s="24"/>
    </row>
    <row r="76" spans="1:95" x14ac:dyDescent="0.2">
      <c r="B76" s="244"/>
      <c r="C76" s="244"/>
      <c r="D76" s="179"/>
      <c r="E76" s="4">
        <v>1</v>
      </c>
      <c r="F76" s="1">
        <v>2</v>
      </c>
      <c r="G76" s="1">
        <v>3</v>
      </c>
      <c r="H76" s="1">
        <v>4</v>
      </c>
      <c r="I76" s="10">
        <v>5</v>
      </c>
      <c r="J76" s="10">
        <v>6</v>
      </c>
      <c r="K76" s="1">
        <v>7</v>
      </c>
      <c r="L76" s="1">
        <v>8</v>
      </c>
      <c r="M76" s="1">
        <v>9</v>
      </c>
      <c r="N76" s="1">
        <v>10</v>
      </c>
      <c r="O76" s="1">
        <v>11</v>
      </c>
      <c r="P76" s="10">
        <v>12</v>
      </c>
      <c r="Q76" s="10">
        <v>13</v>
      </c>
      <c r="R76" s="1">
        <v>14</v>
      </c>
      <c r="S76" s="1">
        <v>15</v>
      </c>
      <c r="T76" s="1">
        <v>16</v>
      </c>
      <c r="U76" s="1">
        <v>17</v>
      </c>
      <c r="V76" s="1">
        <v>18</v>
      </c>
      <c r="W76" s="10">
        <v>19</v>
      </c>
      <c r="X76" s="10">
        <v>20</v>
      </c>
      <c r="Y76" s="1">
        <v>21</v>
      </c>
      <c r="Z76" s="1">
        <v>22</v>
      </c>
      <c r="AA76" s="1">
        <v>23</v>
      </c>
      <c r="AB76" s="1">
        <v>24</v>
      </c>
      <c r="AC76" s="1">
        <v>25</v>
      </c>
      <c r="AD76" s="10">
        <v>26</v>
      </c>
      <c r="AE76" s="10">
        <v>27</v>
      </c>
      <c r="AF76" s="1">
        <v>28</v>
      </c>
      <c r="AG76" s="1">
        <v>29</v>
      </c>
      <c r="AH76" s="1">
        <v>30</v>
      </c>
      <c r="AI76" s="1">
        <v>31</v>
      </c>
      <c r="AL76" s="47"/>
      <c r="AM76" s="23"/>
      <c r="AN76" s="24"/>
    </row>
    <row r="77" spans="1:95" ht="21.75" thickBot="1" x14ac:dyDescent="0.35">
      <c r="B77" s="244"/>
      <c r="C77" s="244"/>
      <c r="D77" s="179"/>
      <c r="E77" s="320" t="s">
        <v>159</v>
      </c>
      <c r="F77" s="263"/>
      <c r="G77" s="263"/>
      <c r="H77" s="263"/>
      <c r="I77" s="263"/>
      <c r="J77" s="263"/>
      <c r="K77" s="263"/>
      <c r="L77" s="263"/>
      <c r="M77" s="263"/>
      <c r="N77" s="263"/>
      <c r="O77" s="309"/>
      <c r="P77" s="10"/>
      <c r="Q77" s="10"/>
      <c r="R77" s="261" t="s">
        <v>141</v>
      </c>
      <c r="S77" s="201"/>
      <c r="T77" s="201"/>
      <c r="U77" s="201"/>
      <c r="V77" s="202"/>
      <c r="W77" s="10"/>
      <c r="X77" s="10"/>
      <c r="Y77" s="264" t="s">
        <v>140</v>
      </c>
      <c r="Z77" s="265"/>
      <c r="AA77" s="266"/>
      <c r="AB77" s="143" t="s">
        <v>3</v>
      </c>
      <c r="AC77" s="143" t="s">
        <v>3</v>
      </c>
      <c r="AD77" s="10"/>
      <c r="AE77" s="10"/>
      <c r="AF77" s="345" t="s">
        <v>156</v>
      </c>
      <c r="AG77" s="346"/>
      <c r="AH77" s="346"/>
      <c r="AI77" s="22" t="s">
        <v>3</v>
      </c>
      <c r="AJ77" s="162">
        <v>11</v>
      </c>
      <c r="AL77" s="47"/>
      <c r="AM77" s="23"/>
      <c r="AN77" s="24"/>
    </row>
    <row r="78" spans="1:95" ht="15.75" thickBot="1" x14ac:dyDescent="0.25">
      <c r="B78" s="244"/>
      <c r="C78" s="244"/>
      <c r="D78" s="179"/>
      <c r="E78" s="91" t="str">
        <f>(E133)</f>
        <v>Pre Separation Brief</v>
      </c>
      <c r="F78" s="1"/>
      <c r="G78" s="1"/>
      <c r="H78" s="1"/>
      <c r="I78" s="10"/>
      <c r="J78" s="10"/>
      <c r="K78" s="288" t="str">
        <f>(E134)</f>
        <v>Three-Day Transition Workshop</v>
      </c>
      <c r="L78" s="289"/>
      <c r="M78" s="347"/>
      <c r="N78" s="257" t="str">
        <f>(E137)</f>
        <v>Employment 2 Day Seminar</v>
      </c>
      <c r="O78" s="258"/>
      <c r="P78" s="10"/>
      <c r="Q78" s="10"/>
      <c r="R78" s="1"/>
      <c r="S78" s="90" t="str">
        <f>(E133)</f>
        <v>Pre Separation Brief</v>
      </c>
      <c r="T78" s="1"/>
      <c r="U78" s="1"/>
      <c r="V78" s="1"/>
      <c r="W78" s="11"/>
      <c r="X78" s="11"/>
      <c r="Y78" s="282" t="s">
        <v>80</v>
      </c>
      <c r="Z78" s="283"/>
      <c r="AA78" s="283"/>
      <c r="AB78" s="283"/>
      <c r="AC78" s="283"/>
      <c r="AD78" s="283"/>
      <c r="AE78" s="283"/>
      <c r="AF78" s="283"/>
      <c r="AG78" s="283"/>
      <c r="AH78" s="283"/>
      <c r="AI78" s="284"/>
      <c r="AL78" s="47"/>
      <c r="AM78" s="23"/>
      <c r="AN78" s="27"/>
    </row>
    <row r="79" spans="1:95" ht="15.75" thickBot="1" x14ac:dyDescent="0.25">
      <c r="B79" s="244"/>
      <c r="C79" s="244"/>
      <c r="D79" s="179"/>
      <c r="E79" s="6"/>
      <c r="F79" s="122" t="s">
        <v>18</v>
      </c>
      <c r="G79" s="7"/>
      <c r="H79" s="7"/>
      <c r="I79" s="11"/>
      <c r="J79" s="11"/>
      <c r="K79" s="7"/>
      <c r="L79" s="7"/>
      <c r="M79" s="89" t="str">
        <f>(E140)</f>
        <v>VA Individual Appointments</v>
      </c>
      <c r="N79" s="7"/>
      <c r="O79" s="7"/>
      <c r="P79" s="11"/>
      <c r="Q79" s="11"/>
      <c r="R79" s="7"/>
      <c r="S79" s="7"/>
      <c r="T79" s="7"/>
      <c r="U79" s="7"/>
      <c r="V79" s="7"/>
      <c r="W79" s="11"/>
      <c r="X79" s="11"/>
      <c r="Y79" s="7"/>
      <c r="Z79" s="7"/>
      <c r="AA79" s="7"/>
      <c r="AB79" s="143" t="s">
        <v>3</v>
      </c>
      <c r="AC79" s="143" t="s">
        <v>3</v>
      </c>
      <c r="AD79" s="11"/>
      <c r="AE79" s="11"/>
      <c r="AF79" s="7"/>
      <c r="AG79" s="7"/>
      <c r="AH79" s="7"/>
      <c r="AI79" s="22" t="s">
        <v>3</v>
      </c>
      <c r="AJ79" s="167"/>
      <c r="AL79" s="47"/>
      <c r="AM79" s="26"/>
      <c r="AN79" s="29">
        <v>11</v>
      </c>
    </row>
    <row r="80" spans="1:95" ht="15.75" thickBot="1" x14ac:dyDescent="0.25">
      <c r="B80" s="244"/>
      <c r="C80" s="244"/>
      <c r="D80" s="17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67"/>
      <c r="AL80" s="47"/>
      <c r="AM80" s="23"/>
      <c r="AN80" s="28"/>
    </row>
    <row r="81" spans="2:40" x14ac:dyDescent="0.2">
      <c r="B81" s="244"/>
      <c r="C81" s="244"/>
      <c r="D81" s="244">
        <v>1</v>
      </c>
      <c r="E81" s="194">
        <v>46388</v>
      </c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6"/>
      <c r="AJ81" s="167"/>
      <c r="AK81" s="162" t="s">
        <v>59</v>
      </c>
      <c r="AL81" s="47">
        <f>SUM(AL75+2.5-AN79)</f>
        <v>18</v>
      </c>
      <c r="AM81" s="23"/>
      <c r="AN81" s="24"/>
    </row>
    <row r="82" spans="2:40" x14ac:dyDescent="0.2">
      <c r="B82" s="244"/>
      <c r="C82" s="244"/>
      <c r="D82" s="244"/>
      <c r="E82" s="4">
        <v>1</v>
      </c>
      <c r="F82" s="10">
        <v>2</v>
      </c>
      <c r="G82" s="10">
        <v>3</v>
      </c>
      <c r="H82" s="1">
        <v>4</v>
      </c>
      <c r="I82" s="1">
        <v>5</v>
      </c>
      <c r="J82" s="1">
        <v>6</v>
      </c>
      <c r="K82" s="1">
        <v>7</v>
      </c>
      <c r="L82" s="1">
        <v>8</v>
      </c>
      <c r="M82" s="10">
        <v>9</v>
      </c>
      <c r="N82" s="10">
        <v>10</v>
      </c>
      <c r="O82" s="1">
        <v>11</v>
      </c>
      <c r="P82" s="1">
        <v>12</v>
      </c>
      <c r="Q82" s="1">
        <v>13</v>
      </c>
      <c r="R82" s="1">
        <v>14</v>
      </c>
      <c r="S82" s="1">
        <v>15</v>
      </c>
      <c r="T82" s="10">
        <v>16</v>
      </c>
      <c r="U82" s="10">
        <v>17</v>
      </c>
      <c r="V82" s="1">
        <v>18</v>
      </c>
      <c r="W82" s="1">
        <v>19</v>
      </c>
      <c r="X82" s="1">
        <v>20</v>
      </c>
      <c r="Y82" s="1">
        <v>21</v>
      </c>
      <c r="Z82" s="1">
        <v>22</v>
      </c>
      <c r="AA82" s="10">
        <v>23</v>
      </c>
      <c r="AB82" s="10">
        <v>24</v>
      </c>
      <c r="AC82" s="1">
        <v>25</v>
      </c>
      <c r="AD82" s="1">
        <v>26</v>
      </c>
      <c r="AE82" s="1">
        <v>27</v>
      </c>
      <c r="AF82" s="1">
        <v>28</v>
      </c>
      <c r="AG82" s="1">
        <v>29</v>
      </c>
      <c r="AH82" s="10">
        <v>30</v>
      </c>
      <c r="AI82" s="40">
        <v>31</v>
      </c>
      <c r="AJ82" s="167"/>
      <c r="AL82" s="47"/>
      <c r="AM82" s="23"/>
      <c r="AN82" s="24"/>
    </row>
    <row r="83" spans="2:40" ht="21" x14ac:dyDescent="0.3">
      <c r="B83" s="244"/>
      <c r="C83" s="244"/>
      <c r="D83" s="244"/>
      <c r="E83" s="21" t="s">
        <v>2</v>
      </c>
      <c r="F83" s="207" t="s">
        <v>116</v>
      </c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8"/>
      <c r="AJ83" s="167"/>
      <c r="AL83" s="47"/>
      <c r="AM83" s="23"/>
      <c r="AN83" s="24"/>
    </row>
    <row r="84" spans="2:40" ht="15.75" thickBot="1" x14ac:dyDescent="0.25">
      <c r="B84" s="244"/>
      <c r="C84" s="244"/>
      <c r="D84" s="244"/>
      <c r="E84" s="100"/>
      <c r="F84" s="10"/>
      <c r="G84" s="10"/>
      <c r="H84" s="1"/>
      <c r="I84" s="1"/>
      <c r="J84" s="1"/>
      <c r="K84" s="1"/>
      <c r="L84" s="1"/>
      <c r="M84" s="10"/>
      <c r="N84" s="10"/>
      <c r="O84" s="1"/>
      <c r="P84" s="1"/>
      <c r="Q84" s="1"/>
      <c r="R84" s="1"/>
      <c r="S84" s="1"/>
      <c r="T84" s="10"/>
      <c r="U84" s="10"/>
      <c r="V84" s="1"/>
      <c r="W84" s="1"/>
      <c r="X84" s="1"/>
      <c r="Y84" s="1"/>
      <c r="Z84" s="1"/>
      <c r="AA84" s="10"/>
      <c r="AB84" s="10"/>
      <c r="AC84" s="1"/>
      <c r="AD84" s="1"/>
      <c r="AE84" s="1"/>
      <c r="AF84" s="1"/>
      <c r="AG84" s="1"/>
      <c r="AH84" s="10"/>
      <c r="AI84" s="40"/>
      <c r="AL84" s="47"/>
      <c r="AM84" s="23"/>
      <c r="AN84" s="27"/>
    </row>
    <row r="85" spans="2:40" ht="25.5" thickBot="1" x14ac:dyDescent="0.4">
      <c r="B85" s="244"/>
      <c r="C85" s="244"/>
      <c r="D85" s="244"/>
      <c r="E85" s="21" t="s">
        <v>2</v>
      </c>
      <c r="F85" s="10"/>
      <c r="G85" s="10"/>
      <c r="H85" s="1"/>
      <c r="I85" s="1"/>
      <c r="J85" s="1"/>
      <c r="K85" s="1"/>
      <c r="L85" s="1"/>
      <c r="M85" s="10"/>
      <c r="N85" s="10"/>
      <c r="O85" s="1"/>
      <c r="P85" s="1"/>
      <c r="Q85" s="1"/>
      <c r="R85" s="1"/>
      <c r="S85" s="1"/>
      <c r="T85" s="10"/>
      <c r="U85" s="10"/>
      <c r="V85" s="141" t="s">
        <v>81</v>
      </c>
      <c r="W85" s="1"/>
      <c r="X85" s="1"/>
      <c r="Y85" s="1"/>
      <c r="Z85" s="1"/>
      <c r="AA85" s="10"/>
      <c r="AB85" s="10"/>
      <c r="AC85" s="1"/>
      <c r="AD85" s="1"/>
      <c r="AE85" s="1"/>
      <c r="AF85" s="1"/>
      <c r="AG85" s="1"/>
      <c r="AH85" s="10"/>
      <c r="AI85" s="40"/>
      <c r="AJ85" s="140"/>
      <c r="AL85" s="47"/>
      <c r="AM85" s="26"/>
      <c r="AN85" s="29">
        <v>0</v>
      </c>
    </row>
    <row r="86" spans="2:40" ht="15.75" thickBot="1" x14ac:dyDescent="0.25">
      <c r="B86" s="244"/>
      <c r="C86" s="244"/>
      <c r="D86" s="179"/>
      <c r="AL86" s="47"/>
      <c r="AM86" s="23"/>
      <c r="AN86" s="28"/>
    </row>
    <row r="87" spans="2:40" x14ac:dyDescent="0.2">
      <c r="B87" s="244"/>
      <c r="C87" s="244"/>
      <c r="D87" s="244">
        <v>2</v>
      </c>
      <c r="E87" s="194">
        <v>46419</v>
      </c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6"/>
      <c r="AJ87" s="162" t="s">
        <v>86</v>
      </c>
      <c r="AK87" s="162" t="s">
        <v>60</v>
      </c>
      <c r="AL87" s="47">
        <f>SUM(AL81+2.5-AN85)</f>
        <v>20.5</v>
      </c>
      <c r="AM87" s="23"/>
      <c r="AN87" s="24"/>
    </row>
    <row r="88" spans="2:40" ht="24.75" x14ac:dyDescent="0.35">
      <c r="B88" s="244"/>
      <c r="C88" s="244"/>
      <c r="D88" s="244"/>
      <c r="E88" s="4">
        <v>1</v>
      </c>
      <c r="F88" s="1">
        <v>2</v>
      </c>
      <c r="G88" s="1">
        <v>3</v>
      </c>
      <c r="H88" s="1">
        <v>4</v>
      </c>
      <c r="I88" s="1">
        <v>5</v>
      </c>
      <c r="J88" s="38">
        <v>6</v>
      </c>
      <c r="K88" s="38">
        <v>7</v>
      </c>
      <c r="L88" s="1">
        <v>8</v>
      </c>
      <c r="M88" s="1">
        <v>9</v>
      </c>
      <c r="N88" s="1">
        <v>10</v>
      </c>
      <c r="O88" s="1">
        <v>11</v>
      </c>
      <c r="P88" s="1">
        <v>12</v>
      </c>
      <c r="Q88" s="38">
        <v>13</v>
      </c>
      <c r="R88" s="38">
        <v>14</v>
      </c>
      <c r="S88" s="1">
        <v>15</v>
      </c>
      <c r="T88" s="1">
        <v>16</v>
      </c>
      <c r="U88" s="1">
        <v>17</v>
      </c>
      <c r="V88" s="1">
        <v>18</v>
      </c>
      <c r="W88" s="1">
        <v>19</v>
      </c>
      <c r="X88" s="38">
        <v>20</v>
      </c>
      <c r="Y88" s="38">
        <v>21</v>
      </c>
      <c r="Z88" s="1">
        <v>22</v>
      </c>
      <c r="AA88" s="1">
        <v>23</v>
      </c>
      <c r="AB88" s="62">
        <v>24</v>
      </c>
      <c r="AC88" s="62">
        <v>25</v>
      </c>
      <c r="AD88" s="62">
        <v>26</v>
      </c>
      <c r="AE88" s="103">
        <v>27</v>
      </c>
      <c r="AF88" s="103">
        <v>28</v>
      </c>
      <c r="AG88" s="1"/>
      <c r="AH88" s="1"/>
      <c r="AI88" s="5"/>
      <c r="AJ88" s="140">
        <f>SUM(AJ56:AJ87)</f>
        <v>11</v>
      </c>
      <c r="AL88" s="47"/>
      <c r="AM88" s="23"/>
      <c r="AN88" s="24"/>
    </row>
    <row r="89" spans="2:40" ht="21" x14ac:dyDescent="0.3">
      <c r="B89" s="244"/>
      <c r="C89" s="244"/>
      <c r="D89" s="244"/>
      <c r="E89" s="343" t="s">
        <v>115</v>
      </c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4"/>
      <c r="AG89" s="102"/>
      <c r="AH89" s="1"/>
      <c r="AI89" s="5"/>
      <c r="AL89" s="47"/>
      <c r="AM89" s="23"/>
      <c r="AN89" s="24"/>
    </row>
    <row r="90" spans="2:40" ht="15.75" thickBot="1" x14ac:dyDescent="0.25">
      <c r="B90" s="244"/>
      <c r="C90" s="244"/>
      <c r="D90" s="244"/>
      <c r="E90" s="4"/>
      <c r="F90" s="1"/>
      <c r="G90" s="1"/>
      <c r="H90" s="1"/>
      <c r="I90" s="1"/>
      <c r="J90" s="38"/>
      <c r="K90" s="38"/>
      <c r="L90" s="1"/>
      <c r="M90" s="1"/>
      <c r="N90" s="1"/>
      <c r="O90" s="1"/>
      <c r="P90" s="1"/>
      <c r="Q90" s="38"/>
      <c r="R90" s="38"/>
      <c r="S90" s="1"/>
      <c r="T90" s="1"/>
      <c r="U90" s="1"/>
      <c r="V90" s="1"/>
      <c r="W90" s="1"/>
      <c r="X90" s="38"/>
      <c r="Y90" s="38"/>
      <c r="Z90" s="1"/>
      <c r="AA90" s="1"/>
      <c r="AB90" s="59"/>
      <c r="AC90" s="59"/>
      <c r="AD90" s="59"/>
      <c r="AE90" s="104"/>
      <c r="AF90" s="104"/>
      <c r="AG90" s="1"/>
      <c r="AH90" s="1"/>
      <c r="AI90" s="5"/>
      <c r="AL90" s="47"/>
      <c r="AM90" s="23"/>
      <c r="AN90" s="27"/>
    </row>
    <row r="91" spans="2:40" ht="15.75" thickBot="1" x14ac:dyDescent="0.25">
      <c r="B91" s="244"/>
      <c r="C91" s="244"/>
      <c r="D91" s="244"/>
      <c r="E91" s="4"/>
      <c r="F91" s="1"/>
      <c r="G91" s="1"/>
      <c r="H91" s="1"/>
      <c r="I91" s="1"/>
      <c r="J91" s="38"/>
      <c r="K91" s="38"/>
      <c r="L91" s="22" t="s">
        <v>9</v>
      </c>
      <c r="M91" s="1"/>
      <c r="N91" s="1"/>
      <c r="O91" s="1"/>
      <c r="P91" s="1"/>
      <c r="Q91" s="38"/>
      <c r="R91" s="38"/>
      <c r="S91" s="141" t="s">
        <v>82</v>
      </c>
      <c r="T91" s="1"/>
      <c r="U91" s="1"/>
      <c r="V91" s="1"/>
      <c r="W91" s="1"/>
      <c r="X91" s="38"/>
      <c r="Y91" s="38"/>
      <c r="Z91" s="1"/>
      <c r="AA91" s="1"/>
      <c r="AB91" s="1"/>
      <c r="AC91" s="1"/>
      <c r="AD91" s="1"/>
      <c r="AE91" s="38"/>
      <c r="AF91" s="38"/>
      <c r="AG91" s="1"/>
      <c r="AH91" s="1"/>
      <c r="AI91" s="5"/>
      <c r="AL91" s="47"/>
      <c r="AM91" s="26"/>
      <c r="AN91" s="29">
        <v>0</v>
      </c>
    </row>
    <row r="92" spans="2:40" ht="15.75" thickBot="1" x14ac:dyDescent="0.25">
      <c r="B92" s="244"/>
      <c r="C92" s="244"/>
      <c r="D92" s="17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L92" s="47"/>
      <c r="AM92" s="23"/>
      <c r="AN92" s="28"/>
    </row>
    <row r="93" spans="2:40" x14ac:dyDescent="0.2">
      <c r="B93" s="244"/>
      <c r="C93" s="244"/>
      <c r="D93" s="244">
        <v>3</v>
      </c>
      <c r="E93" s="194">
        <v>46447</v>
      </c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6"/>
      <c r="AJ93" s="162" t="s">
        <v>87</v>
      </c>
      <c r="AK93" s="162" t="s">
        <v>61</v>
      </c>
      <c r="AL93" s="47">
        <f>SUM(AL87+2.5-AN91)</f>
        <v>23</v>
      </c>
      <c r="AM93" s="23"/>
      <c r="AN93" s="24"/>
    </row>
    <row r="94" spans="2:40" ht="31.5" x14ac:dyDescent="0.45">
      <c r="B94" s="244"/>
      <c r="C94" s="244"/>
      <c r="D94" s="244"/>
      <c r="E94" s="4">
        <v>1</v>
      </c>
      <c r="F94" s="1">
        <v>2</v>
      </c>
      <c r="G94" s="1">
        <v>3</v>
      </c>
      <c r="H94" s="1">
        <v>4</v>
      </c>
      <c r="I94" s="1">
        <v>5</v>
      </c>
      <c r="J94" s="10">
        <v>6</v>
      </c>
      <c r="K94" s="10">
        <v>7</v>
      </c>
      <c r="L94" s="1">
        <v>8</v>
      </c>
      <c r="M94" s="1">
        <v>9</v>
      </c>
      <c r="N94" s="1">
        <v>10</v>
      </c>
      <c r="O94" s="1">
        <v>11</v>
      </c>
      <c r="P94" s="1">
        <v>12</v>
      </c>
      <c r="Q94" s="10">
        <v>13</v>
      </c>
      <c r="R94" s="10">
        <v>14</v>
      </c>
      <c r="S94" s="1">
        <v>15</v>
      </c>
      <c r="T94" s="1">
        <v>16</v>
      </c>
      <c r="U94" s="1">
        <v>17</v>
      </c>
      <c r="V94" s="1">
        <v>18</v>
      </c>
      <c r="W94" s="1">
        <v>19</v>
      </c>
      <c r="X94" s="10">
        <v>20</v>
      </c>
      <c r="Y94" s="10">
        <v>21</v>
      </c>
      <c r="Z94" s="1">
        <v>22</v>
      </c>
      <c r="AA94" s="1">
        <v>23</v>
      </c>
      <c r="AB94" s="1">
        <v>24</v>
      </c>
      <c r="AC94" s="1">
        <v>25</v>
      </c>
      <c r="AD94" s="1">
        <v>26</v>
      </c>
      <c r="AE94" s="10">
        <v>27</v>
      </c>
      <c r="AF94" s="10">
        <v>28</v>
      </c>
      <c r="AG94" s="1">
        <v>29</v>
      </c>
      <c r="AH94" s="1">
        <v>30</v>
      </c>
      <c r="AI94" s="5">
        <v>31</v>
      </c>
      <c r="AJ94" s="160">
        <f>(AL117)</f>
        <v>0.5</v>
      </c>
      <c r="AL94" s="47"/>
      <c r="AM94" s="23"/>
      <c r="AN94" s="24"/>
    </row>
    <row r="95" spans="2:40" ht="21.75" thickBot="1" x14ac:dyDescent="0.35">
      <c r="B95" s="244"/>
      <c r="C95" s="244"/>
      <c r="D95" s="244"/>
      <c r="E95" s="321" t="s">
        <v>114</v>
      </c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  <c r="AA95" s="325"/>
      <c r="AB95" s="325"/>
      <c r="AC95" s="325"/>
      <c r="AD95" s="325"/>
      <c r="AE95" s="325"/>
      <c r="AF95" s="325"/>
      <c r="AG95" s="325"/>
      <c r="AH95" s="325"/>
      <c r="AI95" s="326"/>
      <c r="AL95" s="47"/>
      <c r="AM95" s="23"/>
      <c r="AN95" s="24"/>
    </row>
    <row r="96" spans="2:40" ht="15.75" thickBot="1" x14ac:dyDescent="0.25">
      <c r="B96" s="244"/>
      <c r="C96" s="244"/>
      <c r="D96" s="244"/>
      <c r="E96" s="4"/>
      <c r="F96" s="1"/>
      <c r="G96" s="1"/>
      <c r="H96" s="1"/>
      <c r="I96" s="1"/>
      <c r="J96" s="10"/>
      <c r="K96" s="10"/>
      <c r="L96" s="1"/>
      <c r="M96" s="1"/>
      <c r="N96" s="1"/>
      <c r="O96" s="1"/>
      <c r="P96" s="1"/>
      <c r="Q96" s="10"/>
      <c r="R96" s="10"/>
      <c r="S96" s="1"/>
      <c r="T96" s="1"/>
      <c r="U96" s="1"/>
      <c r="V96" s="1"/>
      <c r="W96" s="1"/>
      <c r="X96" s="10"/>
      <c r="Y96" s="10"/>
      <c r="Z96" s="1"/>
      <c r="AA96" s="1"/>
      <c r="AB96" s="1"/>
      <c r="AC96" s="1"/>
      <c r="AD96" s="1"/>
      <c r="AE96" s="10"/>
      <c r="AF96" s="10"/>
      <c r="AG96" s="1"/>
      <c r="AH96" s="1"/>
      <c r="AI96" s="5"/>
      <c r="AL96" s="47"/>
      <c r="AM96" s="23"/>
      <c r="AN96" s="27"/>
    </row>
    <row r="97" spans="2:40" ht="15.75" thickBot="1" x14ac:dyDescent="0.25">
      <c r="B97" s="244"/>
      <c r="C97" s="244"/>
      <c r="D97" s="244"/>
      <c r="E97" s="4"/>
      <c r="F97" s="1"/>
      <c r="G97" s="1"/>
      <c r="H97" s="1"/>
      <c r="I97" s="1"/>
      <c r="J97" s="10"/>
      <c r="K97" s="10"/>
      <c r="L97" s="1"/>
      <c r="M97" s="1"/>
      <c r="N97" s="1"/>
      <c r="O97" s="1"/>
      <c r="P97" s="1"/>
      <c r="Q97" s="10"/>
      <c r="R97" s="10"/>
      <c r="S97" s="1"/>
      <c r="T97" s="1"/>
      <c r="U97" s="1"/>
      <c r="V97" s="1"/>
      <c r="W97" s="1"/>
      <c r="X97" s="10"/>
      <c r="Y97" s="10"/>
      <c r="Z97" s="1"/>
      <c r="AA97" s="1"/>
      <c r="AB97" s="1"/>
      <c r="AC97" s="1"/>
      <c r="AD97" s="1"/>
      <c r="AE97" s="10"/>
      <c r="AF97" s="10"/>
      <c r="AG97" s="1"/>
      <c r="AH97" s="1"/>
      <c r="AI97" s="5"/>
      <c r="AL97" s="47"/>
      <c r="AM97" s="26"/>
      <c r="AN97" s="29">
        <v>0</v>
      </c>
    </row>
    <row r="98" spans="2:40" ht="15.75" thickBot="1" x14ac:dyDescent="0.25">
      <c r="B98" s="244"/>
      <c r="C98" s="244"/>
      <c r="D98" s="179"/>
      <c r="AL98" s="47"/>
      <c r="AM98" s="23"/>
      <c r="AN98" s="28"/>
    </row>
    <row r="99" spans="2:40" x14ac:dyDescent="0.2">
      <c r="B99" s="244"/>
      <c r="C99" s="244"/>
      <c r="D99" s="244">
        <v>4</v>
      </c>
      <c r="E99" s="194">
        <v>46478</v>
      </c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6"/>
      <c r="AK99" s="162" t="s">
        <v>62</v>
      </c>
      <c r="AL99" s="47">
        <f>SUM(AL93+2.5-AN97)</f>
        <v>25.5</v>
      </c>
      <c r="AM99" s="23"/>
      <c r="AN99" s="24"/>
    </row>
    <row r="100" spans="2:40" x14ac:dyDescent="0.2">
      <c r="B100" s="244"/>
      <c r="C100" s="244"/>
      <c r="D100" s="244"/>
      <c r="E100" s="4">
        <v>1</v>
      </c>
      <c r="F100" s="1">
        <v>2</v>
      </c>
      <c r="G100" s="10">
        <v>3</v>
      </c>
      <c r="H100" s="10">
        <v>4</v>
      </c>
      <c r="I100" s="1">
        <v>5</v>
      </c>
      <c r="J100" s="1">
        <v>6</v>
      </c>
      <c r="K100" s="1">
        <v>7</v>
      </c>
      <c r="L100" s="1">
        <v>8</v>
      </c>
      <c r="M100" s="1">
        <v>9</v>
      </c>
      <c r="N100" s="10">
        <v>10</v>
      </c>
      <c r="O100" s="10">
        <v>11</v>
      </c>
      <c r="P100" s="1">
        <v>12</v>
      </c>
      <c r="Q100" s="1">
        <v>13</v>
      </c>
      <c r="R100" s="1">
        <v>14</v>
      </c>
      <c r="S100" s="1">
        <v>15</v>
      </c>
      <c r="T100" s="1">
        <v>16</v>
      </c>
      <c r="U100" s="10">
        <v>17</v>
      </c>
      <c r="V100" s="10">
        <v>18</v>
      </c>
      <c r="W100" s="1">
        <v>19</v>
      </c>
      <c r="X100" s="1">
        <v>20</v>
      </c>
      <c r="Y100" s="1">
        <v>21</v>
      </c>
      <c r="Z100" s="1">
        <v>22</v>
      </c>
      <c r="AA100" s="1">
        <v>23</v>
      </c>
      <c r="AB100" s="10">
        <v>24</v>
      </c>
      <c r="AC100" s="10">
        <v>25</v>
      </c>
      <c r="AD100" s="1">
        <v>26</v>
      </c>
      <c r="AE100" s="1">
        <v>27</v>
      </c>
      <c r="AF100" s="1">
        <v>28</v>
      </c>
      <c r="AG100" s="1">
        <v>29</v>
      </c>
      <c r="AH100" s="1">
        <v>30</v>
      </c>
      <c r="AI100" s="5"/>
      <c r="AL100" s="47"/>
      <c r="AM100" s="23"/>
      <c r="AN100" s="24"/>
    </row>
    <row r="101" spans="2:40" ht="21.75" thickBot="1" x14ac:dyDescent="0.35">
      <c r="B101" s="244"/>
      <c r="C101" s="244"/>
      <c r="D101" s="244"/>
      <c r="E101" s="321" t="s">
        <v>113</v>
      </c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322"/>
      <c r="AB101" s="322"/>
      <c r="AC101" s="322"/>
      <c r="AD101" s="322"/>
      <c r="AE101" s="322"/>
      <c r="AF101" s="322"/>
      <c r="AG101" s="322"/>
      <c r="AH101" s="322"/>
      <c r="AI101" s="65"/>
      <c r="AL101" s="47"/>
      <c r="AM101" s="23"/>
      <c r="AN101" s="24"/>
    </row>
    <row r="102" spans="2:40" ht="15.75" thickBot="1" x14ac:dyDescent="0.25">
      <c r="B102" s="244"/>
      <c r="C102" s="244"/>
      <c r="D102" s="244"/>
      <c r="E102" s="4"/>
      <c r="F102" s="1"/>
      <c r="G102" s="10"/>
      <c r="H102" s="10"/>
      <c r="I102" s="1"/>
      <c r="J102" s="1"/>
      <c r="K102" s="1"/>
      <c r="L102" s="1"/>
      <c r="M102" s="1"/>
      <c r="N102" s="10"/>
      <c r="O102" s="10"/>
      <c r="P102" s="1"/>
      <c r="Q102" s="1"/>
      <c r="R102" s="1"/>
      <c r="S102" s="1"/>
      <c r="T102" s="1"/>
      <c r="U102" s="10"/>
      <c r="V102" s="10"/>
      <c r="W102" s="1"/>
      <c r="X102" s="1"/>
      <c r="Y102" s="1"/>
      <c r="Z102" s="1"/>
      <c r="AA102" s="1"/>
      <c r="AB102" s="10"/>
      <c r="AC102" s="10"/>
      <c r="AD102" s="1"/>
      <c r="AE102" s="1"/>
      <c r="AF102" s="1"/>
      <c r="AG102" s="1"/>
      <c r="AH102" s="1"/>
      <c r="AI102" s="5"/>
      <c r="AL102" s="47"/>
      <c r="AM102" s="23"/>
      <c r="AN102" s="27"/>
    </row>
    <row r="103" spans="2:40" ht="15.75" thickBot="1" x14ac:dyDescent="0.25">
      <c r="B103" s="244"/>
      <c r="C103" s="244"/>
      <c r="D103" s="244"/>
      <c r="E103" s="4"/>
      <c r="F103" s="1"/>
      <c r="G103" s="10"/>
      <c r="H103" s="10"/>
      <c r="I103" s="1"/>
      <c r="J103" s="1"/>
      <c r="K103" s="1"/>
      <c r="L103" s="1"/>
      <c r="M103" s="1"/>
      <c r="N103" s="10"/>
      <c r="O103" s="10"/>
      <c r="P103" s="1"/>
      <c r="Q103" s="1"/>
      <c r="R103" s="1"/>
      <c r="S103" s="1"/>
      <c r="T103" s="1"/>
      <c r="U103" s="10"/>
      <c r="V103" s="10"/>
      <c r="W103" s="1"/>
      <c r="X103" s="1"/>
      <c r="Y103" s="1"/>
      <c r="Z103" s="1"/>
      <c r="AA103" s="1"/>
      <c r="AB103" s="10"/>
      <c r="AC103" s="10"/>
      <c r="AD103" s="1"/>
      <c r="AE103" s="1"/>
      <c r="AF103" s="1"/>
      <c r="AG103" s="1"/>
      <c r="AH103" s="1"/>
      <c r="AI103" s="5"/>
      <c r="AL103" s="47"/>
      <c r="AM103" s="26"/>
      <c r="AN103" s="29">
        <v>0</v>
      </c>
    </row>
    <row r="104" spans="2:40" ht="15.75" thickBot="1" x14ac:dyDescent="0.25">
      <c r="B104" s="244"/>
      <c r="C104" s="244"/>
      <c r="D104" s="179"/>
      <c r="AL104" s="47"/>
      <c r="AM104" s="23"/>
      <c r="AN104" s="28"/>
    </row>
    <row r="105" spans="2:40" x14ac:dyDescent="0.2">
      <c r="B105" s="244"/>
      <c r="C105" s="244"/>
      <c r="D105" s="244">
        <v>5</v>
      </c>
      <c r="E105" s="194">
        <v>46508</v>
      </c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6"/>
      <c r="AK105" s="162" t="s">
        <v>51</v>
      </c>
      <c r="AL105" s="47">
        <f>SUM(AL99+2.5-AN103)</f>
        <v>28</v>
      </c>
      <c r="AM105" s="23"/>
      <c r="AN105" s="24"/>
    </row>
    <row r="106" spans="2:40" x14ac:dyDescent="0.2">
      <c r="B106" s="244"/>
      <c r="C106" s="244"/>
      <c r="D106" s="244"/>
      <c r="E106" s="12">
        <v>1</v>
      </c>
      <c r="F106" s="10">
        <v>2</v>
      </c>
      <c r="G106" s="1">
        <v>3</v>
      </c>
      <c r="H106" s="1">
        <v>4</v>
      </c>
      <c r="I106" s="1">
        <v>5</v>
      </c>
      <c r="J106" s="1">
        <v>6</v>
      </c>
      <c r="K106" s="1">
        <v>7</v>
      </c>
      <c r="L106" s="10">
        <v>8</v>
      </c>
      <c r="M106" s="10">
        <v>9</v>
      </c>
      <c r="N106" s="1">
        <v>10</v>
      </c>
      <c r="O106" s="1">
        <v>11</v>
      </c>
      <c r="P106" s="1">
        <v>12</v>
      </c>
      <c r="Q106" s="1">
        <v>13</v>
      </c>
      <c r="R106" s="1">
        <v>14</v>
      </c>
      <c r="S106" s="10">
        <v>15</v>
      </c>
      <c r="T106" s="10">
        <v>16</v>
      </c>
      <c r="U106" s="1">
        <v>17</v>
      </c>
      <c r="V106" s="1">
        <v>18</v>
      </c>
      <c r="W106" s="1">
        <v>19</v>
      </c>
      <c r="X106" s="1">
        <v>20</v>
      </c>
      <c r="Y106" s="1">
        <v>21</v>
      </c>
      <c r="Z106" s="10">
        <v>22</v>
      </c>
      <c r="AA106" s="10">
        <v>23</v>
      </c>
      <c r="AB106" s="1">
        <v>24</v>
      </c>
      <c r="AC106" s="1">
        <v>25</v>
      </c>
      <c r="AD106" s="1">
        <v>26</v>
      </c>
      <c r="AE106" s="1">
        <v>27</v>
      </c>
      <c r="AF106" s="1">
        <v>28</v>
      </c>
      <c r="AG106" s="10">
        <v>29</v>
      </c>
      <c r="AH106" s="10">
        <v>30</v>
      </c>
      <c r="AI106" s="5">
        <v>31</v>
      </c>
      <c r="AL106" s="47"/>
      <c r="AM106" s="23"/>
      <c r="AN106" s="24"/>
    </row>
    <row r="107" spans="2:40" ht="21.75" thickBot="1" x14ac:dyDescent="0.35">
      <c r="B107" s="244"/>
      <c r="C107" s="244"/>
      <c r="D107" s="244"/>
      <c r="E107" s="322" t="s">
        <v>112</v>
      </c>
      <c r="F107" s="322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322"/>
      <c r="AB107" s="322"/>
      <c r="AC107" s="322"/>
      <c r="AD107" s="322"/>
      <c r="AE107" s="322"/>
      <c r="AF107" s="322"/>
      <c r="AG107" s="322"/>
      <c r="AH107" s="322"/>
      <c r="AI107" s="342"/>
      <c r="AL107" s="47"/>
      <c r="AM107" s="23"/>
      <c r="AN107" s="24"/>
    </row>
    <row r="108" spans="2:40" ht="15.75" thickBot="1" x14ac:dyDescent="0.25">
      <c r="B108" s="244"/>
      <c r="C108" s="244"/>
      <c r="D108" s="244"/>
      <c r="E108" s="12"/>
      <c r="F108" s="10"/>
      <c r="G108" s="1"/>
      <c r="H108" s="1"/>
      <c r="I108" s="1"/>
      <c r="J108" s="1"/>
      <c r="K108" s="1"/>
      <c r="L108" s="10"/>
      <c r="M108" s="10"/>
      <c r="N108" s="1"/>
      <c r="O108" s="1"/>
      <c r="P108" s="1"/>
      <c r="Q108" s="1"/>
      <c r="R108" s="1"/>
      <c r="S108" s="10"/>
      <c r="T108" s="10"/>
      <c r="U108" s="1"/>
      <c r="V108" s="1"/>
      <c r="W108" s="1"/>
      <c r="X108" s="1"/>
      <c r="Y108" s="1"/>
      <c r="Z108" s="10"/>
      <c r="AA108" s="10"/>
      <c r="AB108" s="1"/>
      <c r="AC108" s="1"/>
      <c r="AD108" s="1"/>
      <c r="AE108" s="1"/>
      <c r="AF108" s="1"/>
      <c r="AG108" s="10"/>
      <c r="AH108" s="10"/>
      <c r="AI108" s="5"/>
      <c r="AL108" s="47"/>
      <c r="AM108" s="23"/>
      <c r="AN108" s="27"/>
    </row>
    <row r="109" spans="2:40" ht="15.75" thickBot="1" x14ac:dyDescent="0.25">
      <c r="B109" s="244"/>
      <c r="C109" s="244"/>
      <c r="D109" s="244"/>
      <c r="E109" s="12"/>
      <c r="F109" s="10"/>
      <c r="G109" s="1"/>
      <c r="H109" s="1"/>
      <c r="I109" s="1"/>
      <c r="J109" s="1"/>
      <c r="K109" s="1"/>
      <c r="L109" s="10"/>
      <c r="M109" s="10"/>
      <c r="N109" s="1"/>
      <c r="O109" s="1"/>
      <c r="P109" s="1"/>
      <c r="Q109" s="1"/>
      <c r="R109" s="1"/>
      <c r="S109" s="10"/>
      <c r="T109" s="10"/>
      <c r="U109" s="1"/>
      <c r="V109" s="1"/>
      <c r="W109" s="1"/>
      <c r="X109" s="1"/>
      <c r="Y109" s="1"/>
      <c r="Z109" s="10"/>
      <c r="AA109" s="10"/>
      <c r="AB109" s="1"/>
      <c r="AC109" s="1"/>
      <c r="AD109" s="1"/>
      <c r="AE109" s="1"/>
      <c r="AF109" s="1"/>
      <c r="AG109" s="10"/>
      <c r="AH109" s="10"/>
      <c r="AI109" s="5"/>
      <c r="AL109" s="47"/>
      <c r="AM109" s="26"/>
      <c r="AN109" s="29">
        <v>0</v>
      </c>
    </row>
    <row r="110" spans="2:40" ht="15.75" thickBot="1" x14ac:dyDescent="0.25">
      <c r="B110" s="244"/>
      <c r="C110" s="244"/>
      <c r="D110" s="179"/>
      <c r="AL110" s="47"/>
      <c r="AM110" s="23"/>
      <c r="AN110" s="28"/>
    </row>
    <row r="111" spans="2:40" x14ac:dyDescent="0.2">
      <c r="B111" s="244"/>
      <c r="C111" s="244"/>
      <c r="D111" s="244">
        <v>6</v>
      </c>
      <c r="E111" s="194">
        <v>46539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6"/>
      <c r="AK111" s="162" t="s">
        <v>52</v>
      </c>
      <c r="AL111" s="47">
        <f>SUM(AL105+2.5-AN109)</f>
        <v>30.5</v>
      </c>
      <c r="AM111" s="23"/>
      <c r="AN111" s="24"/>
    </row>
    <row r="112" spans="2:40" x14ac:dyDescent="0.2">
      <c r="B112" s="244"/>
      <c r="C112" s="244"/>
      <c r="D112" s="244"/>
      <c r="E112" s="4">
        <v>1</v>
      </c>
      <c r="F112" s="1">
        <v>2</v>
      </c>
      <c r="G112" s="1">
        <v>3</v>
      </c>
      <c r="H112" s="1">
        <v>4</v>
      </c>
      <c r="I112" s="10">
        <v>5</v>
      </c>
      <c r="J112" s="10">
        <v>6</v>
      </c>
      <c r="K112" s="1">
        <v>7</v>
      </c>
      <c r="L112" s="1">
        <v>8</v>
      </c>
      <c r="M112" s="1">
        <v>9</v>
      </c>
      <c r="N112" s="1">
        <v>10</v>
      </c>
      <c r="O112" s="1">
        <v>11</v>
      </c>
      <c r="P112" s="10">
        <v>12</v>
      </c>
      <c r="Q112" s="10">
        <v>13</v>
      </c>
      <c r="R112" s="1">
        <v>14</v>
      </c>
      <c r="S112" s="1">
        <v>15</v>
      </c>
      <c r="T112" s="1">
        <v>16</v>
      </c>
      <c r="U112" s="1">
        <v>17</v>
      </c>
      <c r="V112" s="1">
        <v>18</v>
      </c>
      <c r="W112" s="10">
        <v>19</v>
      </c>
      <c r="X112" s="10">
        <v>20</v>
      </c>
      <c r="Y112" s="1">
        <v>21</v>
      </c>
      <c r="Z112" s="1">
        <v>22</v>
      </c>
      <c r="AA112" s="1">
        <v>23</v>
      </c>
      <c r="AB112" s="1">
        <v>24</v>
      </c>
      <c r="AC112" s="1">
        <v>25</v>
      </c>
      <c r="AD112" s="10">
        <v>26</v>
      </c>
      <c r="AE112" s="10">
        <v>27</v>
      </c>
      <c r="AF112" s="1">
        <v>28</v>
      </c>
      <c r="AG112" s="1">
        <v>29</v>
      </c>
      <c r="AH112" s="1">
        <v>30</v>
      </c>
      <c r="AI112" s="5"/>
      <c r="AL112" s="47"/>
      <c r="AM112" s="23"/>
      <c r="AN112" s="24"/>
    </row>
    <row r="113" spans="2:40" ht="21.75" thickBot="1" x14ac:dyDescent="0.35">
      <c r="B113" s="244"/>
      <c r="C113" s="244"/>
      <c r="D113" s="244"/>
      <c r="E113" s="320" t="s">
        <v>76</v>
      </c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24"/>
      <c r="AL113" s="47"/>
      <c r="AM113" s="23"/>
      <c r="AN113" s="24"/>
    </row>
    <row r="114" spans="2:40" ht="15.75" thickBot="1" x14ac:dyDescent="0.25">
      <c r="B114" s="244"/>
      <c r="C114" s="244"/>
      <c r="D114" s="244"/>
      <c r="E114" s="99"/>
      <c r="F114" s="102"/>
      <c r="G114" s="1"/>
      <c r="H114" s="1"/>
      <c r="I114" s="10"/>
      <c r="J114" s="10"/>
      <c r="K114" s="1"/>
      <c r="L114" s="1"/>
      <c r="M114" s="1"/>
      <c r="N114" s="1"/>
      <c r="O114" s="1"/>
      <c r="P114" s="10"/>
      <c r="Q114" s="10"/>
      <c r="R114" s="1"/>
      <c r="S114" s="1"/>
      <c r="T114" s="1"/>
      <c r="U114" s="1"/>
      <c r="V114" s="1"/>
      <c r="W114" s="10"/>
      <c r="X114" s="10"/>
      <c r="Y114" s="1"/>
      <c r="Z114" s="1"/>
      <c r="AA114" s="1"/>
      <c r="AB114" s="1"/>
      <c r="AC114" s="1"/>
      <c r="AD114" s="10"/>
      <c r="AE114" s="10"/>
      <c r="AF114" s="1"/>
      <c r="AG114" s="1"/>
      <c r="AH114" s="1"/>
      <c r="AI114" s="5"/>
      <c r="AL114" s="47"/>
      <c r="AM114" s="23"/>
      <c r="AN114" s="27"/>
    </row>
    <row r="115" spans="2:40" ht="15.75" thickBot="1" x14ac:dyDescent="0.25">
      <c r="B115" s="244"/>
      <c r="C115" s="244"/>
      <c r="D115" s="244"/>
      <c r="E115" s="99"/>
      <c r="F115" s="102"/>
      <c r="G115" s="1"/>
      <c r="H115" s="1"/>
      <c r="I115" s="10"/>
      <c r="J115" s="10"/>
      <c r="K115" s="1"/>
      <c r="L115" s="1"/>
      <c r="M115" s="1"/>
      <c r="N115" s="1"/>
      <c r="O115" s="1"/>
      <c r="P115" s="10"/>
      <c r="Q115" s="10"/>
      <c r="R115" s="1"/>
      <c r="S115" s="1"/>
      <c r="T115" s="1"/>
      <c r="U115" s="1"/>
      <c r="V115" s="143" t="s">
        <v>91</v>
      </c>
      <c r="W115" s="10"/>
      <c r="X115" s="10"/>
      <c r="Y115" s="1"/>
      <c r="Z115" s="1"/>
      <c r="AA115" s="1"/>
      <c r="AB115" s="1"/>
      <c r="AC115" s="1"/>
      <c r="AD115" s="10"/>
      <c r="AE115" s="10"/>
      <c r="AF115" s="1"/>
      <c r="AG115" s="1"/>
      <c r="AH115" s="1"/>
      <c r="AI115" s="5"/>
      <c r="AL115" s="48"/>
      <c r="AM115" s="26"/>
      <c r="AN115" s="29">
        <v>30</v>
      </c>
    </row>
    <row r="116" spans="2:40" ht="35.25" thickBot="1" x14ac:dyDescent="0.55000000000000004">
      <c r="AJ116" s="55"/>
      <c r="AK116" s="55"/>
      <c r="AL116" s="54" t="s">
        <v>11</v>
      </c>
      <c r="AM116" s="148"/>
      <c r="AN116" s="28"/>
    </row>
    <row r="117" spans="2:40" ht="35.25" thickBot="1" x14ac:dyDescent="0.55000000000000004">
      <c r="E117" s="194">
        <v>46569</v>
      </c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6"/>
      <c r="AJ117" s="55"/>
      <c r="AK117" s="55" t="s">
        <v>53</v>
      </c>
      <c r="AL117" s="53">
        <f>SUM(AL111-AN115)</f>
        <v>0.5</v>
      </c>
      <c r="AM117" s="148"/>
      <c r="AN117" s="24"/>
    </row>
    <row r="118" spans="2:40" x14ac:dyDescent="0.2">
      <c r="E118" s="16">
        <v>1</v>
      </c>
      <c r="F118" s="1">
        <v>2</v>
      </c>
      <c r="G118" s="10">
        <v>3</v>
      </c>
      <c r="H118" s="10">
        <v>4</v>
      </c>
      <c r="I118" s="1">
        <v>5</v>
      </c>
      <c r="J118" s="1">
        <v>6</v>
      </c>
      <c r="K118" s="1">
        <v>7</v>
      </c>
      <c r="L118" s="1">
        <v>8</v>
      </c>
      <c r="M118" s="1">
        <v>9</v>
      </c>
      <c r="N118" s="10">
        <v>10</v>
      </c>
      <c r="O118" s="10">
        <v>11</v>
      </c>
      <c r="P118" s="1">
        <v>12</v>
      </c>
      <c r="Q118" s="1">
        <v>13</v>
      </c>
      <c r="R118" s="1">
        <v>14</v>
      </c>
      <c r="S118" s="1">
        <v>15</v>
      </c>
      <c r="T118" s="1">
        <v>16</v>
      </c>
      <c r="U118" s="10">
        <v>17</v>
      </c>
      <c r="V118" s="10">
        <v>18</v>
      </c>
      <c r="W118" s="1">
        <v>19</v>
      </c>
      <c r="X118" s="1">
        <v>20</v>
      </c>
      <c r="Y118" s="1">
        <v>21</v>
      </c>
      <c r="Z118" s="1">
        <v>22</v>
      </c>
      <c r="AA118" s="1">
        <v>23</v>
      </c>
      <c r="AB118" s="10">
        <v>24</v>
      </c>
      <c r="AC118" s="10">
        <v>25</v>
      </c>
      <c r="AD118" s="1">
        <v>26</v>
      </c>
      <c r="AE118" s="1">
        <v>27</v>
      </c>
      <c r="AF118" s="1">
        <v>28</v>
      </c>
      <c r="AG118" s="1">
        <v>29</v>
      </c>
      <c r="AH118" s="1">
        <v>30</v>
      </c>
      <c r="AI118" s="14">
        <v>31</v>
      </c>
      <c r="AL118" s="49"/>
      <c r="AM118" s="23"/>
      <c r="AN118" s="24"/>
    </row>
    <row r="119" spans="2:40" x14ac:dyDescent="0.2">
      <c r="E119" s="20" t="s">
        <v>1</v>
      </c>
      <c r="F119" s="1"/>
      <c r="G119" s="10"/>
      <c r="H119" s="10"/>
      <c r="I119" s="1"/>
      <c r="J119" s="1"/>
      <c r="K119" s="1"/>
      <c r="L119" s="1"/>
      <c r="M119" s="1"/>
      <c r="N119" s="10"/>
      <c r="O119" s="10"/>
      <c r="P119" s="1"/>
      <c r="Q119" s="1"/>
      <c r="R119" s="1"/>
      <c r="S119" s="1"/>
      <c r="T119" s="1"/>
      <c r="U119" s="10"/>
      <c r="V119" s="10"/>
      <c r="W119" s="1"/>
      <c r="X119" s="1"/>
      <c r="Y119" s="1"/>
      <c r="Z119" s="1"/>
      <c r="AA119" s="1"/>
      <c r="AB119" s="10"/>
      <c r="AC119" s="10"/>
      <c r="AD119" s="1"/>
      <c r="AE119" s="1"/>
      <c r="AF119" s="1"/>
      <c r="AG119" s="1"/>
      <c r="AH119" s="1"/>
      <c r="AI119" s="14"/>
      <c r="AL119" s="47"/>
      <c r="AM119" s="23"/>
      <c r="AN119" s="24"/>
    </row>
    <row r="120" spans="2:40" x14ac:dyDescent="0.2">
      <c r="E120" s="16"/>
      <c r="F120" s="1"/>
      <c r="G120" s="10"/>
      <c r="H120" s="10"/>
      <c r="I120" s="1"/>
      <c r="J120" s="1"/>
      <c r="K120" s="1"/>
      <c r="L120" s="1"/>
      <c r="M120" s="1"/>
      <c r="N120" s="10"/>
      <c r="O120" s="10"/>
      <c r="P120" s="1"/>
      <c r="Q120" s="1"/>
      <c r="R120" s="1"/>
      <c r="S120" s="1"/>
      <c r="T120" s="1"/>
      <c r="U120" s="10"/>
      <c r="V120" s="10"/>
      <c r="W120" s="1"/>
      <c r="X120" s="1"/>
      <c r="Y120" s="1"/>
      <c r="Z120" s="1"/>
      <c r="AA120" s="1"/>
      <c r="AB120" s="10"/>
      <c r="AC120" s="10"/>
      <c r="AD120" s="1"/>
      <c r="AE120" s="1"/>
      <c r="AF120" s="1"/>
      <c r="AG120" s="1"/>
      <c r="AH120" s="1"/>
      <c r="AI120" s="14"/>
      <c r="AL120" s="47"/>
      <c r="AM120" s="23"/>
      <c r="AN120" s="24"/>
    </row>
    <row r="121" spans="2:40" ht="15.75" thickBot="1" x14ac:dyDescent="0.25">
      <c r="E121" s="17"/>
      <c r="F121" s="7"/>
      <c r="G121" s="11"/>
      <c r="H121" s="11"/>
      <c r="I121" s="7"/>
      <c r="J121" s="7"/>
      <c r="K121" s="7"/>
      <c r="L121" s="7"/>
      <c r="M121" s="7"/>
      <c r="N121" s="11"/>
      <c r="O121" s="11"/>
      <c r="P121" s="7"/>
      <c r="Q121" s="7"/>
      <c r="R121" s="7"/>
      <c r="S121" s="7"/>
      <c r="T121" s="7"/>
      <c r="U121" s="11"/>
      <c r="V121" s="11"/>
      <c r="W121" s="7"/>
      <c r="X121" s="7"/>
      <c r="Y121" s="7"/>
      <c r="Z121" s="7"/>
      <c r="AA121" s="7"/>
      <c r="AB121" s="11"/>
      <c r="AC121" s="11"/>
      <c r="AD121" s="7"/>
      <c r="AE121" s="7"/>
      <c r="AF121" s="7"/>
      <c r="AG121" s="7"/>
      <c r="AH121" s="7"/>
      <c r="AI121" s="15"/>
      <c r="AL121" s="47"/>
      <c r="AM121" s="23"/>
      <c r="AN121" s="24"/>
    </row>
    <row r="124" spans="2:40" x14ac:dyDescent="0.2">
      <c r="AG124">
        <v>6</v>
      </c>
    </row>
    <row r="125" spans="2:40" x14ac:dyDescent="0.2">
      <c r="AG125">
        <v>31</v>
      </c>
    </row>
    <row r="126" spans="2:40" x14ac:dyDescent="0.2">
      <c r="AG126">
        <v>30</v>
      </c>
    </row>
    <row r="127" spans="2:40" x14ac:dyDescent="0.2">
      <c r="AG127">
        <v>7</v>
      </c>
    </row>
    <row r="128" spans="2:40" x14ac:dyDescent="0.2">
      <c r="AG128">
        <f>SUM(AG124:AG127)</f>
        <v>74</v>
      </c>
    </row>
    <row r="132" spans="5:5" x14ac:dyDescent="0.2">
      <c r="E132" t="s">
        <v>20</v>
      </c>
    </row>
    <row r="133" spans="5:5" x14ac:dyDescent="0.2">
      <c r="E133" t="s">
        <v>21</v>
      </c>
    </row>
    <row r="134" spans="5:5" x14ac:dyDescent="0.2">
      <c r="E134" t="s">
        <v>22</v>
      </c>
    </row>
    <row r="135" spans="5:5" x14ac:dyDescent="0.2">
      <c r="E135" t="s">
        <v>23</v>
      </c>
    </row>
    <row r="136" spans="5:5" x14ac:dyDescent="0.2">
      <c r="E136" t="s">
        <v>24</v>
      </c>
    </row>
    <row r="137" spans="5:5" x14ac:dyDescent="0.2">
      <c r="E137" t="s">
        <v>25</v>
      </c>
    </row>
    <row r="138" spans="5:5" x14ac:dyDescent="0.2">
      <c r="E138" t="s">
        <v>26</v>
      </c>
    </row>
    <row r="139" spans="5:5" x14ac:dyDescent="0.2">
      <c r="E139" t="s">
        <v>27</v>
      </c>
    </row>
    <row r="140" spans="5:5" x14ac:dyDescent="0.2">
      <c r="E140" s="86" t="s">
        <v>28</v>
      </c>
    </row>
  </sheetData>
  <mergeCells count="83">
    <mergeCell ref="B45:C115"/>
    <mergeCell ref="D81:D85"/>
    <mergeCell ref="D87:D91"/>
    <mergeCell ref="D93:D97"/>
    <mergeCell ref="D99:D103"/>
    <mergeCell ref="D105:D109"/>
    <mergeCell ref="D111:D115"/>
    <mergeCell ref="AH47:AI47"/>
    <mergeCell ref="E65:AI65"/>
    <mergeCell ref="Z47:AG47"/>
    <mergeCell ref="E47:G47"/>
    <mergeCell ref="J47:N47"/>
    <mergeCell ref="R47:U47"/>
    <mergeCell ref="X47:Y47"/>
    <mergeCell ref="G53:K53"/>
    <mergeCell ref="AB53:AI53"/>
    <mergeCell ref="R60:T60"/>
    <mergeCell ref="U60:V60"/>
    <mergeCell ref="E63:AI63"/>
    <mergeCell ref="Q48:S48"/>
    <mergeCell ref="T48:U48"/>
    <mergeCell ref="E51:AI51"/>
    <mergeCell ref="E81:AI81"/>
    <mergeCell ref="E75:AI75"/>
    <mergeCell ref="K78:M78"/>
    <mergeCell ref="N78:O78"/>
    <mergeCell ref="Y78:AI78"/>
    <mergeCell ref="R77:V77"/>
    <mergeCell ref="Y77:AA77"/>
    <mergeCell ref="AF77:AH77"/>
    <mergeCell ref="E77:O77"/>
    <mergeCell ref="E117:AI117"/>
    <mergeCell ref="E101:AH101"/>
    <mergeCell ref="F83:AI83"/>
    <mergeCell ref="E95:AI95"/>
    <mergeCell ref="E99:AI99"/>
    <mergeCell ref="E105:AI105"/>
    <mergeCell ref="E107:AI107"/>
    <mergeCell ref="E111:AI111"/>
    <mergeCell ref="E87:AI87"/>
    <mergeCell ref="E89:AF89"/>
    <mergeCell ref="E93:AI93"/>
    <mergeCell ref="E113:AH113"/>
    <mergeCell ref="BM64:CQ64"/>
    <mergeCell ref="M55:S55"/>
    <mergeCell ref="E57:AI57"/>
    <mergeCell ref="E59:AH59"/>
    <mergeCell ref="Q53:R53"/>
    <mergeCell ref="U53:W53"/>
    <mergeCell ref="X53:Y53"/>
    <mergeCell ref="E33:AI33"/>
    <mergeCell ref="F35:AI35"/>
    <mergeCell ref="E39:AI39"/>
    <mergeCell ref="E41:AH41"/>
    <mergeCell ref="E45:AI45"/>
    <mergeCell ref="W72:X72"/>
    <mergeCell ref="I66:J66"/>
    <mergeCell ref="W66:Y66"/>
    <mergeCell ref="Z66:AA66"/>
    <mergeCell ref="E69:AI69"/>
    <mergeCell ref="P72:Q72"/>
    <mergeCell ref="T72:V72"/>
    <mergeCell ref="E71:AH71"/>
    <mergeCell ref="AA72:AE72"/>
    <mergeCell ref="E29:G29"/>
    <mergeCell ref="H29:AG29"/>
    <mergeCell ref="E15:AI15"/>
    <mergeCell ref="F17:N17"/>
    <mergeCell ref="O17:AF17"/>
    <mergeCell ref="Z18:AF18"/>
    <mergeCell ref="E21:AI21"/>
    <mergeCell ref="E23:AI23"/>
    <mergeCell ref="E24:L24"/>
    <mergeCell ref="M24:X24"/>
    <mergeCell ref="AA24:AC24"/>
    <mergeCell ref="AD24:AF24"/>
    <mergeCell ref="E27:AI27"/>
    <mergeCell ref="Q13:S13"/>
    <mergeCell ref="E1:AI1"/>
    <mergeCell ref="E4:AI4"/>
    <mergeCell ref="E8:AI8"/>
    <mergeCell ref="E11:AB11"/>
    <mergeCell ref="AC11:AI11"/>
  </mergeCells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51D5-1FFA-5943-8C84-7D0559D648B1}">
  <sheetPr>
    <pageSetUpPr fitToPage="1"/>
  </sheetPr>
  <dimension ref="A1:CP140"/>
  <sheetViews>
    <sheetView topLeftCell="A47" zoomScale="80" zoomScaleNormal="80" workbookViewId="0">
      <selection activeCell="AI66" sqref="AI66"/>
    </sheetView>
  </sheetViews>
  <sheetFormatPr defaultRowHeight="15" x14ac:dyDescent="0.2"/>
  <cols>
    <col min="20" max="20" width="10.625" customWidth="1"/>
    <col min="35" max="35" width="15.19921875" style="162" customWidth="1"/>
    <col min="36" max="36" width="15.46875" style="162" customWidth="1"/>
    <col min="37" max="37" width="13.5859375" style="50" bestFit="1" customWidth="1"/>
    <col min="38" max="38" width="8.609375" style="162"/>
    <col min="39" max="39" width="8.609375" style="25"/>
  </cols>
  <sheetData>
    <row r="1" spans="4:39" x14ac:dyDescent="0.2">
      <c r="D1" s="194">
        <v>45992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6"/>
      <c r="AK1" s="47">
        <v>68</v>
      </c>
      <c r="AL1" s="23"/>
      <c r="AM1" s="24"/>
    </row>
    <row r="2" spans="4:39" x14ac:dyDescent="0.2">
      <c r="D2" s="111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3"/>
      <c r="AK2" s="47"/>
      <c r="AL2" s="23"/>
      <c r="AM2" s="24"/>
    </row>
    <row r="3" spans="4:39" x14ac:dyDescent="0.2">
      <c r="D3" s="30">
        <v>1</v>
      </c>
      <c r="E3" s="31">
        <v>2</v>
      </c>
      <c r="F3" s="31">
        <v>3</v>
      </c>
      <c r="G3" s="31">
        <v>4</v>
      </c>
      <c r="H3" s="31">
        <v>5</v>
      </c>
      <c r="I3" s="10">
        <v>6</v>
      </c>
      <c r="J3" s="10">
        <v>7</v>
      </c>
      <c r="K3" s="31">
        <v>8</v>
      </c>
      <c r="L3" s="31">
        <v>9</v>
      </c>
      <c r="M3" s="31">
        <v>10</v>
      </c>
      <c r="N3" s="31">
        <v>11</v>
      </c>
      <c r="O3" s="31">
        <v>12</v>
      </c>
      <c r="P3" s="10">
        <v>13</v>
      </c>
      <c r="Q3" s="10">
        <v>14</v>
      </c>
      <c r="R3" s="31">
        <v>15</v>
      </c>
      <c r="S3" s="31">
        <v>16</v>
      </c>
      <c r="T3" s="31">
        <v>17</v>
      </c>
      <c r="U3" s="31">
        <v>18</v>
      </c>
      <c r="V3" s="31">
        <v>19</v>
      </c>
      <c r="W3" s="10">
        <v>20</v>
      </c>
      <c r="X3" s="10">
        <v>21</v>
      </c>
      <c r="Y3" s="31">
        <v>22</v>
      </c>
      <c r="Z3" s="31">
        <v>23</v>
      </c>
      <c r="AA3" s="31">
        <v>24</v>
      </c>
      <c r="AB3" s="31">
        <v>25</v>
      </c>
      <c r="AC3" s="31">
        <v>26</v>
      </c>
      <c r="AD3" s="10">
        <v>27</v>
      </c>
      <c r="AE3" s="10">
        <v>28</v>
      </c>
      <c r="AF3" s="31">
        <v>29</v>
      </c>
      <c r="AG3" s="31">
        <v>30</v>
      </c>
      <c r="AH3" s="34">
        <v>31</v>
      </c>
      <c r="AK3" s="47"/>
      <c r="AL3" s="23"/>
      <c r="AM3" s="24"/>
    </row>
    <row r="4" spans="4:39" x14ac:dyDescent="0.2">
      <c r="D4" s="223" t="s">
        <v>5</v>
      </c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5"/>
      <c r="AK4" s="47"/>
      <c r="AL4" s="23"/>
      <c r="AM4" s="24"/>
    </row>
    <row r="5" spans="4:39" ht="15.75" thickBot="1" x14ac:dyDescent="0.25">
      <c r="D5" s="30"/>
      <c r="E5" s="31"/>
      <c r="F5" s="31"/>
      <c r="G5" s="31"/>
      <c r="H5" s="31"/>
      <c r="I5" s="10"/>
      <c r="J5" s="10"/>
      <c r="K5" s="31"/>
      <c r="L5" s="31"/>
      <c r="M5" s="31"/>
      <c r="N5" s="31"/>
      <c r="O5" s="31"/>
      <c r="P5" s="10"/>
      <c r="Q5" s="10"/>
      <c r="R5" s="31"/>
      <c r="S5" s="31"/>
      <c r="T5" s="31"/>
      <c r="U5" s="31"/>
      <c r="V5" s="31"/>
      <c r="W5" s="10"/>
      <c r="X5" s="10"/>
      <c r="Y5" s="31"/>
      <c r="Z5" s="31"/>
      <c r="AA5" s="31"/>
      <c r="AB5" s="31"/>
      <c r="AC5" s="31"/>
      <c r="AD5" s="10"/>
      <c r="AE5" s="10"/>
      <c r="AF5" s="31"/>
      <c r="AG5" s="31"/>
      <c r="AH5" s="34"/>
      <c r="AK5" s="47"/>
      <c r="AL5" s="23"/>
      <c r="AM5" s="24"/>
    </row>
    <row r="6" spans="4:39" ht="15.75" thickBot="1" x14ac:dyDescent="0.25">
      <c r="D6" s="32"/>
      <c r="E6" s="33"/>
      <c r="F6" s="33"/>
      <c r="G6" s="33"/>
      <c r="H6" s="33"/>
      <c r="I6" s="11"/>
      <c r="J6" s="11"/>
      <c r="K6" s="33"/>
      <c r="L6" s="33"/>
      <c r="M6" s="33"/>
      <c r="N6" s="33"/>
      <c r="O6" s="33"/>
      <c r="P6" s="11"/>
      <c r="Q6" s="11"/>
      <c r="R6" s="33"/>
      <c r="S6" s="33"/>
      <c r="T6" s="33"/>
      <c r="U6" s="33"/>
      <c r="V6" s="33"/>
      <c r="W6" s="11"/>
      <c r="X6" s="11"/>
      <c r="Y6" s="33"/>
      <c r="Z6" s="33"/>
      <c r="AA6" s="33"/>
      <c r="AB6" s="33"/>
      <c r="AC6" s="33"/>
      <c r="AD6" s="11"/>
      <c r="AE6" s="11"/>
      <c r="AF6" s="33"/>
      <c r="AG6" s="33"/>
      <c r="AH6" s="35"/>
      <c r="AK6" s="47"/>
      <c r="AL6" s="23"/>
      <c r="AM6" s="29">
        <v>0</v>
      </c>
    </row>
    <row r="7" spans="4:39" ht="15.75" thickBot="1" x14ac:dyDescent="0.25">
      <c r="AK7" s="47"/>
      <c r="AL7" s="23"/>
      <c r="AM7" s="24"/>
    </row>
    <row r="8" spans="4:39" x14ac:dyDescent="0.2">
      <c r="D8" s="194">
        <v>46023</v>
      </c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6"/>
      <c r="AK8" s="47">
        <f>SUM(AK1+2.5-AM6)</f>
        <v>70.5</v>
      </c>
      <c r="AL8" s="23"/>
      <c r="AM8" s="24"/>
    </row>
    <row r="9" spans="4:39" x14ac:dyDescent="0.2">
      <c r="D9" s="111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3"/>
      <c r="AK9" s="47"/>
      <c r="AL9" s="23"/>
      <c r="AM9" s="24"/>
    </row>
    <row r="10" spans="4:39" x14ac:dyDescent="0.2">
      <c r="D10" s="30">
        <v>1</v>
      </c>
      <c r="E10" s="31">
        <v>2</v>
      </c>
      <c r="F10" s="38">
        <v>3</v>
      </c>
      <c r="G10" s="38">
        <v>4</v>
      </c>
      <c r="H10" s="31">
        <v>5</v>
      </c>
      <c r="I10" s="31">
        <v>6</v>
      </c>
      <c r="J10" s="31">
        <v>7</v>
      </c>
      <c r="K10" s="31">
        <v>8</v>
      </c>
      <c r="L10" s="31">
        <v>9</v>
      </c>
      <c r="M10" s="38">
        <v>10</v>
      </c>
      <c r="N10" s="38">
        <v>11</v>
      </c>
      <c r="O10" s="31">
        <v>12</v>
      </c>
      <c r="P10" s="31">
        <v>13</v>
      </c>
      <c r="Q10" s="31">
        <v>14</v>
      </c>
      <c r="R10" s="31">
        <v>15</v>
      </c>
      <c r="S10" s="31">
        <v>16</v>
      </c>
      <c r="T10" s="38">
        <v>17</v>
      </c>
      <c r="U10" s="38">
        <v>18</v>
      </c>
      <c r="V10" s="31">
        <v>19</v>
      </c>
      <c r="W10" s="31">
        <v>20</v>
      </c>
      <c r="X10" s="31">
        <v>21</v>
      </c>
      <c r="Y10" s="31">
        <v>22</v>
      </c>
      <c r="Z10" s="31">
        <v>23</v>
      </c>
      <c r="AA10" s="38">
        <v>24</v>
      </c>
      <c r="AB10" s="38">
        <v>25</v>
      </c>
      <c r="AC10" s="31">
        <v>26</v>
      </c>
      <c r="AD10" s="31">
        <v>27</v>
      </c>
      <c r="AE10" s="31">
        <v>28</v>
      </c>
      <c r="AF10" s="31">
        <v>29</v>
      </c>
      <c r="AG10" s="31">
        <v>30</v>
      </c>
      <c r="AH10" s="40">
        <v>31</v>
      </c>
      <c r="AK10" s="47"/>
      <c r="AL10" s="23"/>
      <c r="AM10" s="24"/>
    </row>
    <row r="11" spans="4:39" x14ac:dyDescent="0.2">
      <c r="D11" s="223" t="s">
        <v>5</v>
      </c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6"/>
      <c r="AB11" s="227" t="s">
        <v>37</v>
      </c>
      <c r="AC11" s="228"/>
      <c r="AD11" s="228"/>
      <c r="AE11" s="228"/>
      <c r="AF11" s="228"/>
      <c r="AG11" s="228"/>
      <c r="AH11" s="229"/>
      <c r="AK11" s="47"/>
      <c r="AL11" s="23"/>
      <c r="AM11" s="24"/>
    </row>
    <row r="12" spans="4:39" ht="15.75" thickBot="1" x14ac:dyDescent="0.25">
      <c r="D12" s="30"/>
      <c r="E12" s="31"/>
      <c r="F12" s="38"/>
      <c r="G12" s="38"/>
      <c r="H12" s="31"/>
      <c r="I12" s="31"/>
      <c r="J12" s="31"/>
      <c r="K12" s="31"/>
      <c r="L12" s="31"/>
      <c r="M12" s="38"/>
      <c r="N12" s="38"/>
      <c r="O12" s="31"/>
      <c r="P12" s="31"/>
      <c r="Q12" s="31"/>
      <c r="R12" s="31"/>
      <c r="S12" s="31"/>
      <c r="T12" s="38"/>
      <c r="U12" s="38"/>
      <c r="V12" s="31"/>
      <c r="W12" s="31"/>
      <c r="X12" s="31"/>
      <c r="Y12" s="31"/>
      <c r="Z12" s="33"/>
      <c r="AA12" s="39"/>
      <c r="AB12" s="39"/>
      <c r="AC12" s="33"/>
      <c r="AD12" s="33"/>
      <c r="AE12" s="33"/>
      <c r="AF12" s="33"/>
      <c r="AG12" s="33"/>
      <c r="AH12" s="41"/>
      <c r="AK12" s="47"/>
      <c r="AL12" s="23"/>
      <c r="AM12" s="24"/>
    </row>
    <row r="13" spans="4:39" ht="15.75" thickBot="1" x14ac:dyDescent="0.25">
      <c r="D13" s="32"/>
      <c r="E13" s="33"/>
      <c r="F13" s="39"/>
      <c r="G13" s="39"/>
      <c r="H13" s="33"/>
      <c r="I13" s="33"/>
      <c r="J13" s="33"/>
      <c r="K13" s="33"/>
      <c r="L13" s="33"/>
      <c r="M13" s="39"/>
      <c r="N13" s="39"/>
      <c r="O13" s="45"/>
      <c r="P13" s="221" t="s">
        <v>8</v>
      </c>
      <c r="Q13" s="222"/>
      <c r="R13" s="222"/>
      <c r="S13" s="46"/>
      <c r="T13" s="39"/>
      <c r="U13" s="39"/>
      <c r="V13" s="33"/>
      <c r="W13" s="33"/>
      <c r="X13" s="33"/>
      <c r="Y13" s="33"/>
      <c r="Z13" s="33"/>
      <c r="AA13" s="39"/>
      <c r="AB13" s="39"/>
      <c r="AC13" s="33"/>
      <c r="AD13" s="33"/>
      <c r="AE13" s="33"/>
      <c r="AF13" s="33"/>
      <c r="AG13" s="33"/>
      <c r="AH13" s="41"/>
      <c r="AK13" s="47"/>
      <c r="AL13" s="23"/>
      <c r="AM13" s="29">
        <v>7</v>
      </c>
    </row>
    <row r="14" spans="4:39" ht="15.75" thickBot="1" x14ac:dyDescent="0.25">
      <c r="AK14" s="47"/>
      <c r="AL14" s="23"/>
      <c r="AM14" s="24"/>
    </row>
    <row r="15" spans="4:39" x14ac:dyDescent="0.2">
      <c r="D15" s="194">
        <v>46054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6"/>
      <c r="AK15" s="47">
        <f>SUM(AK8+2.5-AM13)</f>
        <v>66</v>
      </c>
      <c r="AL15" s="23"/>
      <c r="AM15" s="24"/>
    </row>
    <row r="16" spans="4:39" x14ac:dyDescent="0.2">
      <c r="D16" s="42">
        <v>1</v>
      </c>
      <c r="E16" s="1">
        <v>2</v>
      </c>
      <c r="F16" s="1">
        <v>3</v>
      </c>
      <c r="G16" s="1">
        <v>4</v>
      </c>
      <c r="H16" s="31">
        <v>5</v>
      </c>
      <c r="I16" s="31">
        <v>6</v>
      </c>
      <c r="J16" s="38">
        <v>7</v>
      </c>
      <c r="K16" s="38">
        <v>8</v>
      </c>
      <c r="L16" s="31">
        <v>9</v>
      </c>
      <c r="M16" s="31">
        <v>10</v>
      </c>
      <c r="N16" s="31">
        <v>11</v>
      </c>
      <c r="O16" s="31">
        <v>12</v>
      </c>
      <c r="P16" s="31">
        <v>13</v>
      </c>
      <c r="Q16" s="38">
        <v>14</v>
      </c>
      <c r="R16" s="38">
        <v>15</v>
      </c>
      <c r="S16" s="31">
        <v>16</v>
      </c>
      <c r="T16" s="31">
        <v>17</v>
      </c>
      <c r="U16" s="31">
        <v>18</v>
      </c>
      <c r="V16" s="31">
        <v>19</v>
      </c>
      <c r="W16" s="31">
        <v>20</v>
      </c>
      <c r="X16" s="38">
        <v>21</v>
      </c>
      <c r="Y16" s="38">
        <v>22</v>
      </c>
      <c r="Z16" s="31">
        <v>23</v>
      </c>
      <c r="AA16" s="31">
        <v>24</v>
      </c>
      <c r="AB16" s="31">
        <v>25</v>
      </c>
      <c r="AC16" s="31">
        <v>26</v>
      </c>
      <c r="AD16" s="31">
        <v>27</v>
      </c>
      <c r="AE16" s="38">
        <v>28</v>
      </c>
      <c r="AF16" s="38">
        <v>29</v>
      </c>
      <c r="AG16" s="1"/>
      <c r="AH16" s="5"/>
      <c r="AK16" s="47"/>
      <c r="AL16" s="23"/>
      <c r="AM16" s="24"/>
    </row>
    <row r="17" spans="4:41" x14ac:dyDescent="0.2">
      <c r="D17" s="18"/>
      <c r="E17" s="233" t="s">
        <v>5</v>
      </c>
      <c r="F17" s="224"/>
      <c r="G17" s="224"/>
      <c r="H17" s="224"/>
      <c r="I17" s="224"/>
      <c r="J17" s="224"/>
      <c r="K17" s="224"/>
      <c r="L17" s="224"/>
      <c r="M17" s="226"/>
      <c r="N17" s="234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6"/>
      <c r="AF17" s="38"/>
      <c r="AG17" s="1"/>
      <c r="AH17" s="5"/>
      <c r="AK17" s="47"/>
      <c r="AL17" s="23"/>
      <c r="AM17" s="24"/>
    </row>
    <row r="18" spans="4:41" ht="15.75" thickBot="1" x14ac:dyDescent="0.25">
      <c r="D18" s="18" t="s">
        <v>4</v>
      </c>
      <c r="E18" s="1"/>
      <c r="F18" s="1"/>
      <c r="G18" s="1"/>
      <c r="H18" s="31"/>
      <c r="I18" s="31"/>
      <c r="J18" s="38"/>
      <c r="K18" s="38"/>
      <c r="L18" s="31"/>
      <c r="M18" s="31"/>
      <c r="N18" s="31"/>
      <c r="O18" s="31"/>
      <c r="P18" s="31"/>
      <c r="Q18" s="38"/>
      <c r="R18" s="38"/>
      <c r="S18" s="31"/>
      <c r="T18" s="31"/>
      <c r="U18" s="31"/>
      <c r="V18" s="31"/>
      <c r="W18" s="31"/>
      <c r="X18" s="38"/>
      <c r="Y18" s="237" t="s">
        <v>7</v>
      </c>
      <c r="Z18" s="238"/>
      <c r="AA18" s="238"/>
      <c r="AB18" s="238"/>
      <c r="AC18" s="238"/>
      <c r="AD18" s="238"/>
      <c r="AE18" s="238"/>
      <c r="AF18" s="110"/>
      <c r="AG18" s="1"/>
      <c r="AH18" s="5"/>
      <c r="AK18" s="47"/>
      <c r="AL18" s="23"/>
      <c r="AM18" s="24"/>
    </row>
    <row r="19" spans="4:41" ht="15.75" thickBot="1" x14ac:dyDescent="0.25">
      <c r="D19" s="19"/>
      <c r="E19" s="7"/>
      <c r="F19" s="7"/>
      <c r="G19" s="7"/>
      <c r="H19" s="33"/>
      <c r="I19" s="33"/>
      <c r="J19" s="39"/>
      <c r="K19" s="39"/>
      <c r="L19" s="22" t="s">
        <v>9</v>
      </c>
      <c r="M19" s="33"/>
      <c r="N19" s="33"/>
      <c r="O19" s="33"/>
      <c r="P19" s="33"/>
      <c r="Q19" s="39"/>
      <c r="R19" s="39"/>
      <c r="S19" s="33"/>
      <c r="T19" s="33"/>
      <c r="U19" s="33"/>
      <c r="V19" s="33"/>
      <c r="W19" s="33"/>
      <c r="X19" s="39"/>
      <c r="Y19" s="39"/>
      <c r="Z19" s="33"/>
      <c r="AA19" s="33"/>
      <c r="AB19" s="33"/>
      <c r="AC19" s="33"/>
      <c r="AD19" s="33"/>
      <c r="AE19" s="39"/>
      <c r="AF19" s="39"/>
      <c r="AG19" s="7"/>
      <c r="AH19" s="8"/>
      <c r="AK19" s="47"/>
      <c r="AL19" s="23"/>
      <c r="AM19" s="29">
        <v>1</v>
      </c>
    </row>
    <row r="20" spans="4:41" ht="15.75" thickBot="1" x14ac:dyDescent="0.25">
      <c r="AK20" s="47"/>
      <c r="AL20" s="23"/>
      <c r="AM20" s="28"/>
    </row>
    <row r="21" spans="4:41" x14ac:dyDescent="0.2">
      <c r="D21" s="194">
        <v>46082</v>
      </c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6"/>
      <c r="AJ21" s="162" t="s">
        <v>0</v>
      </c>
      <c r="AK21" s="47">
        <f>SUM(AK15+2.5-AM19)</f>
        <v>67.5</v>
      </c>
      <c r="AL21" s="23"/>
      <c r="AM21" s="24"/>
    </row>
    <row r="22" spans="4:41" x14ac:dyDescent="0.2">
      <c r="D22" s="42">
        <v>1</v>
      </c>
      <c r="E22" s="1">
        <v>2</v>
      </c>
      <c r="F22" s="31">
        <v>3</v>
      </c>
      <c r="G22" s="31">
        <v>4</v>
      </c>
      <c r="H22" s="31">
        <v>5</v>
      </c>
      <c r="I22" s="31">
        <v>6</v>
      </c>
      <c r="J22" s="38">
        <v>7</v>
      </c>
      <c r="K22" s="38">
        <v>8</v>
      </c>
      <c r="L22" s="31">
        <v>9</v>
      </c>
      <c r="M22" s="31">
        <v>10</v>
      </c>
      <c r="N22" s="31">
        <v>11</v>
      </c>
      <c r="O22" s="31">
        <v>12</v>
      </c>
      <c r="P22" s="31">
        <v>13</v>
      </c>
      <c r="Q22" s="38">
        <v>14</v>
      </c>
      <c r="R22" s="38">
        <v>15</v>
      </c>
      <c r="S22" s="31">
        <v>16</v>
      </c>
      <c r="T22" s="31">
        <v>17</v>
      </c>
      <c r="U22" s="31">
        <v>18</v>
      </c>
      <c r="V22" s="31">
        <v>19</v>
      </c>
      <c r="W22" s="31">
        <v>20</v>
      </c>
      <c r="X22" s="38">
        <v>21</v>
      </c>
      <c r="Y22" s="38">
        <v>22</v>
      </c>
      <c r="Z22" s="31">
        <v>23</v>
      </c>
      <c r="AA22" s="31">
        <v>24</v>
      </c>
      <c r="AB22" s="31">
        <v>25</v>
      </c>
      <c r="AC22" s="31">
        <v>26</v>
      </c>
      <c r="AD22" s="31">
        <v>27</v>
      </c>
      <c r="AE22" s="38">
        <v>28</v>
      </c>
      <c r="AF22" s="38">
        <v>29</v>
      </c>
      <c r="AG22" s="31">
        <v>30</v>
      </c>
      <c r="AH22" s="34">
        <v>31</v>
      </c>
      <c r="AK22" s="47"/>
      <c r="AL22" s="23"/>
      <c r="AM22" s="24"/>
    </row>
    <row r="23" spans="4:41" x14ac:dyDescent="0.2">
      <c r="D23" s="223" t="s">
        <v>5</v>
      </c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5"/>
      <c r="AK23" s="47"/>
      <c r="AL23" s="23"/>
      <c r="AM23" s="24"/>
    </row>
    <row r="24" spans="4:41" ht="15.75" thickBot="1" x14ac:dyDescent="0.25">
      <c r="D24" s="237" t="s">
        <v>6</v>
      </c>
      <c r="E24" s="239"/>
      <c r="F24" s="239"/>
      <c r="G24" s="239"/>
      <c r="H24" s="239"/>
      <c r="I24" s="239"/>
      <c r="J24" s="239"/>
      <c r="K24" s="240"/>
      <c r="L24" s="241" t="s">
        <v>10</v>
      </c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3"/>
      <c r="X24" s="38"/>
      <c r="Y24" s="38"/>
      <c r="Z24" s="237" t="s">
        <v>13</v>
      </c>
      <c r="AA24" s="239"/>
      <c r="AB24" s="239"/>
      <c r="AC24" s="237" t="s">
        <v>14</v>
      </c>
      <c r="AD24" s="239"/>
      <c r="AE24" s="239"/>
      <c r="AF24" s="39"/>
      <c r="AG24" s="31"/>
      <c r="AH24" s="34"/>
      <c r="AK24" s="47"/>
      <c r="AL24" s="23"/>
      <c r="AM24" s="24"/>
    </row>
    <row r="25" spans="4:41" ht="15.75" thickBot="1" x14ac:dyDescent="0.25">
      <c r="D25" s="43"/>
      <c r="E25" s="7"/>
      <c r="F25" s="33"/>
      <c r="G25" s="33"/>
      <c r="H25" s="33"/>
      <c r="I25" s="33"/>
      <c r="J25" s="39"/>
      <c r="K25" s="39"/>
      <c r="L25" s="33"/>
      <c r="M25" s="33"/>
      <c r="N25" s="33"/>
      <c r="O25" s="33"/>
      <c r="P25" s="33"/>
      <c r="Q25" s="39"/>
      <c r="R25" s="39"/>
      <c r="S25" s="33"/>
      <c r="T25" s="33"/>
      <c r="U25" s="33"/>
      <c r="V25" s="33"/>
      <c r="W25" s="33"/>
      <c r="X25" s="39"/>
      <c r="Y25" s="39"/>
      <c r="Z25" s="33"/>
      <c r="AA25" s="33"/>
      <c r="AB25" s="33"/>
      <c r="AC25" s="33"/>
      <c r="AD25" s="33"/>
      <c r="AE25" s="39"/>
      <c r="AF25" s="39"/>
      <c r="AG25" s="33"/>
      <c r="AH25" s="35"/>
      <c r="AK25" s="47"/>
      <c r="AL25" s="23"/>
      <c r="AM25" s="29">
        <v>0</v>
      </c>
    </row>
    <row r="26" spans="4:41" ht="30" thickBot="1" x14ac:dyDescent="0.4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K26" s="47"/>
      <c r="AL26" s="23"/>
      <c r="AM26" s="28"/>
      <c r="AO26" s="126" t="s">
        <v>42</v>
      </c>
    </row>
    <row r="27" spans="4:41" ht="30" thickBot="1" x14ac:dyDescent="0.45">
      <c r="D27" s="190">
        <v>46113</v>
      </c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2"/>
      <c r="AG27" s="192"/>
      <c r="AH27" s="193"/>
      <c r="AJ27" s="162" t="s">
        <v>50</v>
      </c>
      <c r="AK27" s="47">
        <v>69</v>
      </c>
      <c r="AL27" s="23"/>
      <c r="AM27" s="24"/>
      <c r="AO27" s="126">
        <v>23</v>
      </c>
    </row>
    <row r="28" spans="4:41" ht="29.25" x14ac:dyDescent="0.4">
      <c r="D28" s="36">
        <v>1</v>
      </c>
      <c r="E28" s="37">
        <v>2</v>
      </c>
      <c r="F28" s="37">
        <v>3</v>
      </c>
      <c r="G28" s="44">
        <v>4</v>
      </c>
      <c r="H28" s="44">
        <v>5</v>
      </c>
      <c r="I28" s="37">
        <v>6</v>
      </c>
      <c r="J28" s="37">
        <v>7</v>
      </c>
      <c r="K28" s="37">
        <v>8</v>
      </c>
      <c r="L28" s="37">
        <v>9</v>
      </c>
      <c r="M28" s="37">
        <v>10</v>
      </c>
      <c r="N28" s="44">
        <v>11</v>
      </c>
      <c r="O28" s="44">
        <v>12</v>
      </c>
      <c r="P28" s="37">
        <v>13</v>
      </c>
      <c r="Q28" s="37">
        <v>14</v>
      </c>
      <c r="R28" s="37">
        <v>15</v>
      </c>
      <c r="S28" s="37">
        <v>16</v>
      </c>
      <c r="T28" s="37">
        <v>17</v>
      </c>
      <c r="U28" s="44">
        <v>18</v>
      </c>
      <c r="V28" s="44">
        <v>19</v>
      </c>
      <c r="W28" s="37">
        <v>20</v>
      </c>
      <c r="X28" s="37">
        <v>21</v>
      </c>
      <c r="Y28" s="37">
        <v>22</v>
      </c>
      <c r="Z28" s="37">
        <v>23</v>
      </c>
      <c r="AA28" s="37">
        <v>24</v>
      </c>
      <c r="AB28" s="44">
        <v>25</v>
      </c>
      <c r="AC28" s="44">
        <v>26</v>
      </c>
      <c r="AD28" s="37">
        <v>27</v>
      </c>
      <c r="AE28" s="37">
        <v>28</v>
      </c>
      <c r="AF28" s="37">
        <v>29</v>
      </c>
      <c r="AG28" s="2">
        <v>30</v>
      </c>
      <c r="AH28" s="3"/>
      <c r="AK28" s="47"/>
      <c r="AL28" s="23"/>
      <c r="AM28" s="24"/>
      <c r="AO28" s="126"/>
    </row>
    <row r="29" spans="4:41" ht="29.25" x14ac:dyDescent="0.4">
      <c r="D29" s="230" t="s">
        <v>19</v>
      </c>
      <c r="E29" s="231"/>
      <c r="F29" s="232"/>
      <c r="G29" s="223" t="s">
        <v>5</v>
      </c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157" t="s">
        <v>87</v>
      </c>
      <c r="AH29" s="71"/>
      <c r="AK29" s="47"/>
      <c r="AL29" s="23"/>
      <c r="AM29" s="24"/>
      <c r="AO29" s="126"/>
    </row>
    <row r="30" spans="4:41" ht="30" thickBot="1" x14ac:dyDescent="0.45">
      <c r="D30" s="30"/>
      <c r="E30" s="31"/>
      <c r="F30" s="31"/>
      <c r="G30" s="38"/>
      <c r="H30" s="38"/>
      <c r="I30" s="31"/>
      <c r="J30" s="31"/>
      <c r="K30" s="31"/>
      <c r="L30" s="31"/>
      <c r="M30" s="31"/>
      <c r="N30" s="38"/>
      <c r="O30" s="38"/>
      <c r="P30" s="31"/>
      <c r="Q30" s="31"/>
      <c r="R30" s="31"/>
      <c r="S30" s="31"/>
      <c r="T30" s="31"/>
      <c r="U30" s="38"/>
      <c r="V30" s="38"/>
      <c r="W30" s="33"/>
      <c r="X30" s="33"/>
      <c r="Y30" s="33"/>
      <c r="Z30" s="33"/>
      <c r="AA30" s="33"/>
      <c r="AB30" s="39"/>
      <c r="AC30" s="39"/>
      <c r="AD30" s="33"/>
      <c r="AE30" s="33"/>
      <c r="AF30" s="33"/>
      <c r="AG30" s="7"/>
      <c r="AH30" s="8"/>
      <c r="AK30" s="47"/>
      <c r="AL30" s="23"/>
      <c r="AM30" s="24"/>
      <c r="AO30" s="126"/>
    </row>
    <row r="31" spans="4:41" ht="30" thickBot="1" x14ac:dyDescent="0.45">
      <c r="D31" s="32"/>
      <c r="E31" s="33"/>
      <c r="F31" s="33"/>
      <c r="G31" s="39"/>
      <c r="H31" s="39"/>
      <c r="I31" s="33"/>
      <c r="J31" s="33"/>
      <c r="K31" s="33"/>
      <c r="L31" s="33"/>
      <c r="M31" s="33"/>
      <c r="N31" s="39"/>
      <c r="O31" s="39"/>
      <c r="P31" s="33"/>
      <c r="Q31" s="33"/>
      <c r="R31" s="33"/>
      <c r="S31" s="33"/>
      <c r="T31" s="33"/>
      <c r="U31" s="39"/>
      <c r="V31" s="39"/>
      <c r="W31" s="33"/>
      <c r="X31" s="33"/>
      <c r="Y31" s="33"/>
      <c r="Z31" s="33"/>
      <c r="AA31" s="33"/>
      <c r="AB31" s="39"/>
      <c r="AC31" s="39"/>
      <c r="AD31" s="33"/>
      <c r="AE31" s="33"/>
      <c r="AF31" s="33"/>
      <c r="AG31" s="7"/>
      <c r="AH31" s="8"/>
      <c r="AK31" s="47"/>
      <c r="AL31" s="23"/>
      <c r="AM31" s="29">
        <v>4</v>
      </c>
      <c r="AO31" s="126">
        <f>SUM(AO27-AM31)</f>
        <v>19</v>
      </c>
    </row>
    <row r="32" spans="4:41" ht="30" thickBot="1" x14ac:dyDescent="0.45">
      <c r="AK32" s="47"/>
      <c r="AL32" s="23"/>
      <c r="AM32" s="24"/>
      <c r="AO32" s="126"/>
    </row>
    <row r="33" spans="2:41" ht="29.25" x14ac:dyDescent="0.4">
      <c r="D33" s="194">
        <v>46143</v>
      </c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6"/>
      <c r="AJ33" s="162" t="s">
        <v>51</v>
      </c>
      <c r="AK33" s="47">
        <v>68</v>
      </c>
      <c r="AL33" s="23"/>
      <c r="AM33" s="24"/>
      <c r="AO33" s="126"/>
    </row>
    <row r="34" spans="2:41" ht="29.25" x14ac:dyDescent="0.4">
      <c r="D34" s="4">
        <v>1</v>
      </c>
      <c r="E34" s="38">
        <v>2</v>
      </c>
      <c r="F34" s="38">
        <v>3</v>
      </c>
      <c r="G34" s="31">
        <v>4</v>
      </c>
      <c r="H34" s="31">
        <v>5</v>
      </c>
      <c r="I34" s="31">
        <v>6</v>
      </c>
      <c r="J34" s="31">
        <v>7</v>
      </c>
      <c r="K34" s="31">
        <v>8</v>
      </c>
      <c r="L34" s="38">
        <v>9</v>
      </c>
      <c r="M34" s="38">
        <v>10</v>
      </c>
      <c r="N34" s="31">
        <v>11</v>
      </c>
      <c r="O34" s="31">
        <v>12</v>
      </c>
      <c r="P34" s="31">
        <v>13</v>
      </c>
      <c r="Q34" s="31">
        <v>14</v>
      </c>
      <c r="R34" s="31">
        <v>15</v>
      </c>
      <c r="S34" s="38">
        <v>16</v>
      </c>
      <c r="T34" s="38">
        <v>17</v>
      </c>
      <c r="U34" s="31">
        <v>18</v>
      </c>
      <c r="V34" s="31">
        <v>19</v>
      </c>
      <c r="W34" s="31">
        <v>20</v>
      </c>
      <c r="X34" s="31">
        <v>21</v>
      </c>
      <c r="Y34" s="31">
        <v>22</v>
      </c>
      <c r="Z34" s="38">
        <v>23</v>
      </c>
      <c r="AA34" s="38">
        <v>24</v>
      </c>
      <c r="AB34" s="31">
        <v>25</v>
      </c>
      <c r="AC34" s="31">
        <v>26</v>
      </c>
      <c r="AD34" s="31">
        <v>27</v>
      </c>
      <c r="AE34" s="31">
        <v>28</v>
      </c>
      <c r="AF34" s="31">
        <v>29</v>
      </c>
      <c r="AG34" s="38">
        <v>30</v>
      </c>
      <c r="AH34" s="40">
        <v>31</v>
      </c>
      <c r="AK34" s="47"/>
      <c r="AL34" s="23"/>
      <c r="AM34" s="24"/>
      <c r="AO34" s="126"/>
    </row>
    <row r="35" spans="2:41" ht="29.25" x14ac:dyDescent="0.4">
      <c r="D35" s="158" t="s">
        <v>87</v>
      </c>
      <c r="E35" s="223" t="s">
        <v>5</v>
      </c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5"/>
      <c r="AK35" s="47"/>
      <c r="AL35" s="23"/>
      <c r="AM35" s="24"/>
      <c r="AO35" s="126"/>
    </row>
    <row r="36" spans="2:41" ht="30" thickBot="1" x14ac:dyDescent="0.45">
      <c r="D36" s="4"/>
      <c r="E36" s="38"/>
      <c r="F36" s="38"/>
      <c r="G36" s="31"/>
      <c r="H36" s="31"/>
      <c r="I36" s="31"/>
      <c r="J36" s="31"/>
      <c r="K36" s="31"/>
      <c r="L36" s="38"/>
      <c r="M36" s="38"/>
      <c r="N36" s="31"/>
      <c r="O36" s="31"/>
      <c r="P36" s="31"/>
      <c r="Q36" s="31"/>
      <c r="R36" s="31"/>
      <c r="S36" s="38"/>
      <c r="T36" s="38"/>
      <c r="U36" s="31"/>
      <c r="V36" s="31"/>
      <c r="W36" s="31"/>
      <c r="X36" s="31"/>
      <c r="Y36" s="31"/>
      <c r="Z36" s="38"/>
      <c r="AA36" s="38"/>
      <c r="AB36" s="31"/>
      <c r="AC36" s="31"/>
      <c r="AD36" s="31"/>
      <c r="AE36" s="31"/>
      <c r="AF36" s="31"/>
      <c r="AG36" s="38"/>
      <c r="AH36" s="40"/>
      <c r="AK36" s="47"/>
      <c r="AL36" s="23"/>
      <c r="AM36" s="24"/>
      <c r="AO36" s="126"/>
    </row>
    <row r="37" spans="2:41" ht="30" thickBot="1" x14ac:dyDescent="0.45">
      <c r="D37" s="6"/>
      <c r="E37" s="39"/>
      <c r="F37" s="39"/>
      <c r="G37" s="33"/>
      <c r="H37" s="33"/>
      <c r="I37" s="33"/>
      <c r="J37" s="33"/>
      <c r="K37" s="33"/>
      <c r="L37" s="39"/>
      <c r="M37" s="39"/>
      <c r="N37" s="33"/>
      <c r="O37" s="33"/>
      <c r="P37" s="33"/>
      <c r="Q37" s="33"/>
      <c r="R37" s="33"/>
      <c r="S37" s="39"/>
      <c r="T37" s="39"/>
      <c r="U37" s="33"/>
      <c r="V37" s="33"/>
      <c r="W37" s="33"/>
      <c r="X37" s="33"/>
      <c r="Y37" s="33"/>
      <c r="Z37" s="39"/>
      <c r="AA37" s="39"/>
      <c r="AB37" s="33"/>
      <c r="AC37" s="33"/>
      <c r="AD37" s="33"/>
      <c r="AE37" s="33"/>
      <c r="AF37" s="33"/>
      <c r="AG37" s="39"/>
      <c r="AH37" s="41"/>
      <c r="AK37" s="47"/>
      <c r="AL37" s="23"/>
      <c r="AM37" s="29">
        <v>1</v>
      </c>
      <c r="AO37" s="126">
        <f>SUM(AO31-AM37)</f>
        <v>18</v>
      </c>
    </row>
    <row r="38" spans="2:41" ht="30" thickBot="1" x14ac:dyDescent="0.4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K38" s="47"/>
      <c r="AL38" s="23"/>
      <c r="AM38" s="24"/>
      <c r="AO38" s="126"/>
    </row>
    <row r="39" spans="2:41" ht="30" thickBot="1" x14ac:dyDescent="0.45">
      <c r="D39" s="190">
        <v>46174</v>
      </c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2"/>
      <c r="AG39" s="192"/>
      <c r="AH39" s="193"/>
      <c r="AJ39" s="162" t="s">
        <v>52</v>
      </c>
      <c r="AK39" s="47">
        <f>SUM(AK33+2.5-AM37)</f>
        <v>69.5</v>
      </c>
      <c r="AL39" s="23"/>
      <c r="AM39" s="24"/>
      <c r="AO39" s="126"/>
    </row>
    <row r="40" spans="2:41" ht="29.25" x14ac:dyDescent="0.4">
      <c r="D40" s="36">
        <v>1</v>
      </c>
      <c r="E40" s="37">
        <v>2</v>
      </c>
      <c r="F40" s="37">
        <v>3</v>
      </c>
      <c r="G40" s="37">
        <v>4</v>
      </c>
      <c r="H40" s="37">
        <v>5</v>
      </c>
      <c r="I40" s="44">
        <v>6</v>
      </c>
      <c r="J40" s="44">
        <v>7</v>
      </c>
      <c r="K40" s="37">
        <v>8</v>
      </c>
      <c r="L40" s="37">
        <v>9</v>
      </c>
      <c r="M40" s="37">
        <v>10</v>
      </c>
      <c r="N40" s="37">
        <v>11</v>
      </c>
      <c r="O40" s="37">
        <v>12</v>
      </c>
      <c r="P40" s="44">
        <v>13</v>
      </c>
      <c r="Q40" s="44">
        <v>14</v>
      </c>
      <c r="R40" s="37">
        <v>15</v>
      </c>
      <c r="S40" s="37">
        <v>16</v>
      </c>
      <c r="T40" s="37">
        <v>17</v>
      </c>
      <c r="U40" s="37">
        <v>18</v>
      </c>
      <c r="V40" s="37">
        <v>19</v>
      </c>
      <c r="W40" s="44">
        <v>20</v>
      </c>
      <c r="X40" s="44">
        <v>21</v>
      </c>
      <c r="Y40" s="37">
        <v>22</v>
      </c>
      <c r="Z40" s="37">
        <v>23</v>
      </c>
      <c r="AA40" s="37">
        <v>24</v>
      </c>
      <c r="AB40" s="37">
        <v>25</v>
      </c>
      <c r="AC40" s="37">
        <v>26</v>
      </c>
      <c r="AD40" s="44">
        <v>27</v>
      </c>
      <c r="AE40" s="44">
        <v>28</v>
      </c>
      <c r="AF40" s="37">
        <v>29</v>
      </c>
      <c r="AG40" s="2">
        <v>30</v>
      </c>
      <c r="AH40" s="3"/>
      <c r="AK40" s="47"/>
      <c r="AL40" s="23"/>
      <c r="AM40" s="24"/>
      <c r="AO40" s="126"/>
    </row>
    <row r="41" spans="2:41" ht="29.25" x14ac:dyDescent="0.4">
      <c r="D41" s="223" t="s">
        <v>5</v>
      </c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6"/>
      <c r="AH41" s="5"/>
      <c r="AK41" s="47"/>
      <c r="AL41" s="23"/>
      <c r="AM41" s="24"/>
      <c r="AO41" s="126"/>
    </row>
    <row r="42" spans="2:41" ht="30" thickBot="1" x14ac:dyDescent="0.45">
      <c r="D42" s="30"/>
      <c r="E42" s="31"/>
      <c r="F42" s="31"/>
      <c r="G42" s="31"/>
      <c r="H42" s="31"/>
      <c r="I42" s="38"/>
      <c r="J42" s="38"/>
      <c r="K42" s="31"/>
      <c r="L42" s="31"/>
      <c r="M42" s="87" t="str">
        <f>(D140)</f>
        <v>VA Individual Appointments</v>
      </c>
      <c r="N42" s="31"/>
      <c r="O42" s="31"/>
      <c r="P42" s="38"/>
      <c r="Q42" s="38"/>
      <c r="R42" s="31"/>
      <c r="S42" s="31"/>
      <c r="T42" s="31"/>
      <c r="U42" s="31"/>
      <c r="V42" s="31"/>
      <c r="W42" s="38"/>
      <c r="X42" s="38"/>
      <c r="Y42" s="31"/>
      <c r="Z42" s="31"/>
      <c r="AA42" s="31"/>
      <c r="AB42" s="31"/>
      <c r="AC42" s="31"/>
      <c r="AD42" s="38"/>
      <c r="AE42" s="38"/>
      <c r="AF42" s="31"/>
      <c r="AG42" s="1"/>
      <c r="AH42" s="5"/>
      <c r="AK42" s="47"/>
      <c r="AL42" s="23"/>
      <c r="AM42" s="24"/>
      <c r="AO42" s="126"/>
    </row>
    <row r="43" spans="2:41" ht="30" thickBot="1" x14ac:dyDescent="0.45">
      <c r="D43" s="32"/>
      <c r="E43" s="33"/>
      <c r="F43" s="33"/>
      <c r="G43" s="33"/>
      <c r="H43" s="33"/>
      <c r="I43" s="39"/>
      <c r="J43" s="39"/>
      <c r="K43" s="33"/>
      <c r="L43" s="33"/>
      <c r="M43" s="33"/>
      <c r="N43" s="33"/>
      <c r="O43" s="33"/>
      <c r="P43" s="39"/>
      <c r="Q43" s="39"/>
      <c r="R43" s="33"/>
      <c r="S43" s="33"/>
      <c r="T43" s="33"/>
      <c r="U43" s="33"/>
      <c r="V43" s="143" t="s">
        <v>91</v>
      </c>
      <c r="W43" s="127" t="s">
        <v>44</v>
      </c>
      <c r="X43" s="39"/>
      <c r="Y43" s="33"/>
      <c r="Z43" s="33"/>
      <c r="AA43" s="33"/>
      <c r="AB43" s="33"/>
      <c r="AC43" s="33"/>
      <c r="AD43" s="39"/>
      <c r="AE43" s="39"/>
      <c r="AF43" s="33"/>
      <c r="AG43" s="7"/>
      <c r="AH43" s="8"/>
      <c r="AK43" s="47"/>
      <c r="AL43" s="23"/>
      <c r="AM43" s="29">
        <v>0</v>
      </c>
      <c r="AO43" s="126">
        <f>SUM(AO37-AM43)</f>
        <v>18</v>
      </c>
    </row>
    <row r="44" spans="2:41" ht="30" thickBot="1" x14ac:dyDescent="0.45"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6"/>
      <c r="AJ44" s="106"/>
      <c r="AK44" s="107"/>
      <c r="AL44" s="108"/>
      <c r="AM44" s="109"/>
      <c r="AO44" s="126"/>
    </row>
    <row r="45" spans="2:41" ht="29.25" x14ac:dyDescent="0.4">
      <c r="B45" s="244" t="s">
        <v>40</v>
      </c>
      <c r="C45" s="244"/>
      <c r="D45" s="194">
        <v>46204</v>
      </c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6"/>
      <c r="AJ45" s="162" t="s">
        <v>53</v>
      </c>
      <c r="AK45" s="47">
        <f>SUM(AK39+2.5-AM43)</f>
        <v>72</v>
      </c>
      <c r="AL45" s="23"/>
      <c r="AM45" s="24"/>
      <c r="AO45" s="126"/>
    </row>
    <row r="46" spans="2:41" ht="29.25" x14ac:dyDescent="0.4">
      <c r="B46" s="244"/>
      <c r="C46" s="244"/>
      <c r="D46" s="4">
        <v>1</v>
      </c>
      <c r="E46" s="1">
        <v>2</v>
      </c>
      <c r="F46" s="1">
        <v>3</v>
      </c>
      <c r="G46" s="10">
        <v>4</v>
      </c>
      <c r="H46" s="10">
        <v>5</v>
      </c>
      <c r="I46" s="1">
        <v>6</v>
      </c>
      <c r="J46" s="1">
        <v>7</v>
      </c>
      <c r="K46" s="1">
        <v>8</v>
      </c>
      <c r="L46" s="1">
        <v>9</v>
      </c>
      <c r="M46" s="1">
        <v>10</v>
      </c>
      <c r="N46" s="10">
        <v>11</v>
      </c>
      <c r="O46" s="10">
        <v>12</v>
      </c>
      <c r="P46" s="1">
        <v>13</v>
      </c>
      <c r="Q46" s="1">
        <v>14</v>
      </c>
      <c r="R46" s="1">
        <v>15</v>
      </c>
      <c r="S46" s="1">
        <v>16</v>
      </c>
      <c r="T46" s="1">
        <v>17</v>
      </c>
      <c r="U46" s="10">
        <v>18</v>
      </c>
      <c r="V46" s="10">
        <v>19</v>
      </c>
      <c r="W46" s="1">
        <v>20</v>
      </c>
      <c r="X46" s="1">
        <v>21</v>
      </c>
      <c r="Y46" s="1">
        <v>22</v>
      </c>
      <c r="Z46" s="1">
        <v>23</v>
      </c>
      <c r="AA46" s="1">
        <v>24</v>
      </c>
      <c r="AB46" s="10">
        <v>25</v>
      </c>
      <c r="AC46" s="10">
        <v>26</v>
      </c>
      <c r="AD46" s="1">
        <v>27</v>
      </c>
      <c r="AE46" s="1">
        <v>28</v>
      </c>
      <c r="AF46" s="1">
        <v>29</v>
      </c>
      <c r="AG46" s="1">
        <v>30</v>
      </c>
      <c r="AH46" s="5">
        <v>31</v>
      </c>
      <c r="AK46" s="47"/>
      <c r="AL46" s="23"/>
      <c r="AM46" s="24"/>
      <c r="AO46" s="126"/>
    </row>
    <row r="47" spans="2:41" ht="29.25" x14ac:dyDescent="0.4">
      <c r="B47" s="244"/>
      <c r="C47" s="244"/>
      <c r="D47" s="223" t="s">
        <v>5</v>
      </c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5"/>
      <c r="AK47" s="47"/>
      <c r="AL47" s="23"/>
      <c r="AM47" s="24"/>
      <c r="AO47" s="126"/>
    </row>
    <row r="48" spans="2:41" ht="30" thickBot="1" x14ac:dyDescent="0.45">
      <c r="B48" s="244"/>
      <c r="C48" s="244"/>
      <c r="D48" s="4"/>
      <c r="E48" s="1"/>
      <c r="F48" s="1"/>
      <c r="G48" s="10"/>
      <c r="H48" s="10"/>
      <c r="I48" s="1"/>
      <c r="J48" s="90" t="str">
        <f>(D133)</f>
        <v>Pre Separation Brief</v>
      </c>
      <c r="K48" s="1"/>
      <c r="L48" s="1"/>
      <c r="M48" s="1"/>
      <c r="N48" s="10"/>
      <c r="O48" s="10"/>
      <c r="P48" s="245" t="str">
        <f>(D134)</f>
        <v>Three-Day Transition Workshop</v>
      </c>
      <c r="Q48" s="246"/>
      <c r="R48" s="247"/>
      <c r="S48" s="248" t="str">
        <f>(D137)</f>
        <v>Employment 2 Day Seminar</v>
      </c>
      <c r="T48" s="249"/>
      <c r="U48" s="10"/>
      <c r="V48" s="10"/>
      <c r="W48" s="250" t="str">
        <f>(D135)</f>
        <v>Entrepreneurship 2-Day Seminar</v>
      </c>
      <c r="X48" s="251"/>
      <c r="Y48" s="1"/>
      <c r="Z48" s="1"/>
      <c r="AA48" s="1"/>
      <c r="AB48" s="10"/>
      <c r="AC48" s="10"/>
      <c r="AD48" s="1"/>
      <c r="AE48" s="90" t="str">
        <f>(D133)</f>
        <v>Pre Separation Brief</v>
      </c>
      <c r="AF48" s="1"/>
      <c r="AG48" s="259" t="str">
        <f>(D136)</f>
        <v>Career &amp; Credential Exploration 2 Day Seminar</v>
      </c>
      <c r="AH48" s="260"/>
      <c r="AK48" s="47"/>
      <c r="AL48" s="23"/>
      <c r="AM48" s="24"/>
      <c r="AO48" s="126"/>
    </row>
    <row r="49" spans="2:94" ht="30" thickBot="1" x14ac:dyDescent="0.45">
      <c r="B49" s="244"/>
      <c r="C49" s="244"/>
      <c r="D49" s="6"/>
      <c r="E49" s="149" t="s">
        <v>104</v>
      </c>
      <c r="F49" s="22" t="s">
        <v>3</v>
      </c>
      <c r="G49" s="11"/>
      <c r="H49" s="11"/>
      <c r="I49" s="7"/>
      <c r="J49" s="7"/>
      <c r="K49" s="7"/>
      <c r="L49" s="7"/>
      <c r="M49" s="7"/>
      <c r="N49" s="11"/>
      <c r="O49" s="11"/>
      <c r="P49" s="66" t="s">
        <v>109</v>
      </c>
      <c r="Q49" s="7"/>
      <c r="R49" s="87" t="str">
        <f>(D140)</f>
        <v>VA Individual Appointments</v>
      </c>
      <c r="S49" s="76"/>
      <c r="T49" s="77"/>
      <c r="U49" s="11"/>
      <c r="V49" s="11"/>
      <c r="W49" s="7"/>
      <c r="X49" s="7"/>
      <c r="Y49" s="7"/>
      <c r="Z49" s="7"/>
      <c r="AA49" s="7"/>
      <c r="AB49" s="11"/>
      <c r="AC49" s="11"/>
      <c r="AD49" s="161"/>
      <c r="AE49" s="7"/>
      <c r="AF49" s="7"/>
      <c r="AG49" s="7"/>
      <c r="AH49" s="66" t="s">
        <v>15</v>
      </c>
      <c r="AK49" s="47"/>
      <c r="AL49" s="23"/>
      <c r="AM49" s="29">
        <v>0</v>
      </c>
      <c r="AO49" s="126">
        <f>SUM(AO43-AM49)</f>
        <v>18</v>
      </c>
    </row>
    <row r="50" spans="2:94" ht="30" thickBot="1" x14ac:dyDescent="0.45">
      <c r="B50" s="244"/>
      <c r="C50" s="244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7"/>
      <c r="AO50" s="126"/>
    </row>
    <row r="51" spans="2:94" ht="29.25" x14ac:dyDescent="0.4">
      <c r="B51" s="244"/>
      <c r="C51" s="244"/>
      <c r="D51" s="194">
        <v>46235</v>
      </c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6"/>
      <c r="AJ51" s="162" t="s">
        <v>54</v>
      </c>
      <c r="AK51" s="47">
        <f>SUM(AK45+2.5-AM49)</f>
        <v>74.5</v>
      </c>
      <c r="AL51" s="23"/>
      <c r="AM51" s="24"/>
      <c r="AO51" s="126"/>
    </row>
    <row r="52" spans="2:94" ht="29.25" x14ac:dyDescent="0.4">
      <c r="B52" s="244"/>
      <c r="C52" s="244"/>
      <c r="D52" s="12">
        <v>1</v>
      </c>
      <c r="E52" s="10">
        <v>2</v>
      </c>
      <c r="F52" s="1">
        <v>3</v>
      </c>
      <c r="G52" s="1">
        <v>4</v>
      </c>
      <c r="H52" s="1">
        <v>5</v>
      </c>
      <c r="I52" s="1">
        <v>6</v>
      </c>
      <c r="J52" s="1">
        <v>7</v>
      </c>
      <c r="K52" s="10">
        <v>8</v>
      </c>
      <c r="L52" s="10">
        <v>9</v>
      </c>
      <c r="M52" s="1">
        <v>10</v>
      </c>
      <c r="N52" s="1">
        <v>11</v>
      </c>
      <c r="O52" s="1">
        <v>12</v>
      </c>
      <c r="P52" s="1">
        <v>13</v>
      </c>
      <c r="Q52" s="1">
        <v>14</v>
      </c>
      <c r="R52" s="10">
        <v>15</v>
      </c>
      <c r="S52" s="10">
        <v>16</v>
      </c>
      <c r="T52" s="1">
        <v>17</v>
      </c>
      <c r="U52" s="1">
        <v>18</v>
      </c>
      <c r="V52" s="1">
        <v>19</v>
      </c>
      <c r="W52" s="1">
        <v>20</v>
      </c>
      <c r="X52" s="1">
        <v>21</v>
      </c>
      <c r="Y52" s="10">
        <v>22</v>
      </c>
      <c r="Z52" s="10">
        <v>23</v>
      </c>
      <c r="AA52" s="1">
        <v>24</v>
      </c>
      <c r="AB52" s="1">
        <v>25</v>
      </c>
      <c r="AC52" s="1">
        <v>26</v>
      </c>
      <c r="AD52" s="1">
        <v>27</v>
      </c>
      <c r="AE52" s="1">
        <v>28</v>
      </c>
      <c r="AF52" s="10">
        <v>29</v>
      </c>
      <c r="AG52" s="10">
        <v>30</v>
      </c>
      <c r="AH52" s="5">
        <v>31</v>
      </c>
      <c r="AI52" s="56"/>
      <c r="AJ52" s="56"/>
      <c r="AK52" s="47"/>
      <c r="AL52" s="23"/>
      <c r="AM52" s="24"/>
      <c r="AO52" s="126"/>
    </row>
    <row r="53" spans="2:94" ht="30" thickBot="1" x14ac:dyDescent="0.45">
      <c r="B53" s="244"/>
      <c r="C53" s="244"/>
      <c r="D53" s="200" t="s">
        <v>5</v>
      </c>
      <c r="E53" s="201"/>
      <c r="F53" s="307" t="s">
        <v>129</v>
      </c>
      <c r="G53" s="307"/>
      <c r="H53" s="307"/>
      <c r="I53" s="307"/>
      <c r="J53" s="307"/>
      <c r="K53" s="151"/>
      <c r="L53" s="151"/>
      <c r="M53" s="265" t="s">
        <v>128</v>
      </c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151"/>
      <c r="Z53" s="151"/>
      <c r="AA53" s="307" t="s">
        <v>118</v>
      </c>
      <c r="AB53" s="307"/>
      <c r="AC53" s="307"/>
      <c r="AD53" s="307"/>
      <c r="AE53" s="307"/>
      <c r="AF53" s="307"/>
      <c r="AG53" s="307"/>
      <c r="AH53" s="308"/>
      <c r="AI53" s="162">
        <v>10</v>
      </c>
      <c r="AK53" s="47"/>
      <c r="AL53" s="23"/>
      <c r="AM53" s="24"/>
      <c r="AO53" s="126"/>
    </row>
    <row r="54" spans="2:94" ht="30" thickBot="1" x14ac:dyDescent="0.45">
      <c r="B54" s="244"/>
      <c r="C54" s="244"/>
      <c r="D54" s="12"/>
      <c r="E54" s="10"/>
      <c r="F54" s="1"/>
      <c r="G54" s="90" t="str">
        <f>(D133)</f>
        <v>Pre Separation Brief</v>
      </c>
      <c r="H54" s="1"/>
      <c r="I54" s="1"/>
      <c r="J54" s="1"/>
      <c r="K54" s="10"/>
      <c r="L54" s="10"/>
      <c r="M54" s="1"/>
      <c r="N54" s="90" t="str">
        <f>(D133)</f>
        <v>Pre Separation Brief</v>
      </c>
      <c r="O54" s="1"/>
      <c r="P54" s="253" t="str">
        <f>(D138)</f>
        <v>Education  2 Day Seminar</v>
      </c>
      <c r="Q54" s="254"/>
      <c r="R54" s="10"/>
      <c r="S54" s="75"/>
      <c r="T54" s="255" t="str">
        <f>(D134)</f>
        <v>Three-Day Transition Workshop</v>
      </c>
      <c r="U54" s="256"/>
      <c r="V54" s="256"/>
      <c r="W54" s="257" t="str">
        <f>(D137)</f>
        <v>Employment 2 Day Seminar</v>
      </c>
      <c r="X54" s="258"/>
      <c r="Y54" s="74"/>
      <c r="Z54" s="10"/>
      <c r="AA54" s="1"/>
      <c r="AB54" s="1"/>
      <c r="AC54" s="1"/>
      <c r="AD54" s="1"/>
      <c r="AE54" s="1"/>
      <c r="AF54" s="10"/>
      <c r="AG54" s="10"/>
      <c r="AH54" s="5"/>
      <c r="AK54" s="47"/>
      <c r="AL54" s="23"/>
      <c r="AM54" s="24"/>
      <c r="AO54" s="126"/>
    </row>
    <row r="55" spans="2:94" ht="30" thickBot="1" x14ac:dyDescent="0.45">
      <c r="B55" s="244"/>
      <c r="C55" s="244"/>
      <c r="D55" s="13"/>
      <c r="E55" s="11"/>
      <c r="F55" s="7"/>
      <c r="G55" s="7"/>
      <c r="H55" s="7"/>
      <c r="I55" s="7"/>
      <c r="J55" s="7"/>
      <c r="K55" s="11"/>
      <c r="L55" s="301" t="s">
        <v>106</v>
      </c>
      <c r="M55" s="302"/>
      <c r="N55" s="302"/>
      <c r="O55" s="302"/>
      <c r="P55" s="302"/>
      <c r="Q55" s="302"/>
      <c r="R55" s="303"/>
      <c r="S55" s="11"/>
      <c r="T55" s="73"/>
      <c r="U55" s="73"/>
      <c r="V55" s="87" t="str">
        <f>(D140)</f>
        <v>VA Individual Appointments</v>
      </c>
      <c r="W55" s="73"/>
      <c r="X55" s="73"/>
      <c r="Y55" s="11"/>
      <c r="Z55" s="11"/>
      <c r="AA55" s="7"/>
      <c r="AB55" s="7"/>
      <c r="AC55" s="7"/>
      <c r="AD55" s="7"/>
      <c r="AE55" s="7"/>
      <c r="AF55" s="11"/>
      <c r="AG55" s="11"/>
      <c r="AH55" s="8"/>
      <c r="AK55" s="47"/>
      <c r="AL55" s="23"/>
      <c r="AM55" s="29">
        <v>13</v>
      </c>
      <c r="AO55" s="126">
        <f>SUM(AO49-AM55)</f>
        <v>5</v>
      </c>
    </row>
    <row r="56" spans="2:94" ht="30" thickBot="1" x14ac:dyDescent="0.45">
      <c r="B56" s="244"/>
      <c r="C56" s="244"/>
      <c r="AK56" s="47"/>
      <c r="AL56" s="23"/>
      <c r="AM56" s="24"/>
      <c r="AO56" s="126"/>
    </row>
    <row r="57" spans="2:94" ht="29.25" x14ac:dyDescent="0.4">
      <c r="B57" s="244"/>
      <c r="C57" s="244"/>
      <c r="D57" s="194">
        <v>46266</v>
      </c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6"/>
      <c r="AJ57" s="162" t="s">
        <v>55</v>
      </c>
      <c r="AK57" s="47">
        <f>SUM(AK51+2.5-AM55)</f>
        <v>64</v>
      </c>
      <c r="AL57" s="23"/>
      <c r="AM57" s="24"/>
      <c r="AO57" s="126"/>
    </row>
    <row r="58" spans="2:94" ht="29.25" x14ac:dyDescent="0.4">
      <c r="B58" s="244"/>
      <c r="C58" s="244"/>
      <c r="D58" s="4">
        <v>1</v>
      </c>
      <c r="E58" s="1">
        <v>2</v>
      </c>
      <c r="F58" s="1">
        <v>3</v>
      </c>
      <c r="G58" s="1">
        <v>4</v>
      </c>
      <c r="H58" s="10">
        <v>5</v>
      </c>
      <c r="I58" s="10">
        <v>6</v>
      </c>
      <c r="J58" s="1">
        <v>7</v>
      </c>
      <c r="K58" s="1">
        <v>8</v>
      </c>
      <c r="L58" s="1">
        <v>9</v>
      </c>
      <c r="M58" s="1">
        <v>10</v>
      </c>
      <c r="N58" s="1">
        <v>11</v>
      </c>
      <c r="O58" s="10">
        <v>12</v>
      </c>
      <c r="P58" s="10">
        <v>13</v>
      </c>
      <c r="Q58" s="1">
        <v>14</v>
      </c>
      <c r="R58" s="1">
        <v>15</v>
      </c>
      <c r="S58" s="1">
        <v>16</v>
      </c>
      <c r="T58" s="1">
        <v>17</v>
      </c>
      <c r="U58" s="1">
        <v>18</v>
      </c>
      <c r="V58" s="10">
        <v>19</v>
      </c>
      <c r="W58" s="10">
        <v>20</v>
      </c>
      <c r="X58" s="1">
        <v>21</v>
      </c>
      <c r="Y58" s="1">
        <v>22</v>
      </c>
      <c r="Z58" s="1">
        <v>23</v>
      </c>
      <c r="AA58" s="1">
        <v>24</v>
      </c>
      <c r="AB58" s="1">
        <v>25</v>
      </c>
      <c r="AC58" s="10">
        <v>26</v>
      </c>
      <c r="AD58" s="10">
        <v>27</v>
      </c>
      <c r="AE58" s="1">
        <v>28</v>
      </c>
      <c r="AF58" s="1">
        <v>29</v>
      </c>
      <c r="AG58" s="1">
        <v>30</v>
      </c>
      <c r="AH58" s="5"/>
      <c r="AK58" s="47"/>
      <c r="AL58" s="23"/>
      <c r="AM58" s="24"/>
      <c r="AO58" s="126"/>
    </row>
    <row r="59" spans="2:94" ht="29.25" x14ac:dyDescent="0.4">
      <c r="B59" s="244"/>
      <c r="C59" s="244"/>
      <c r="D59" s="263" t="s">
        <v>127</v>
      </c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309"/>
      <c r="AH59" s="5"/>
      <c r="AI59" s="162">
        <v>0</v>
      </c>
      <c r="AK59" s="47"/>
      <c r="AL59" s="23"/>
      <c r="AM59" s="24"/>
      <c r="AO59" s="126"/>
    </row>
    <row r="60" spans="2:94" ht="30" thickBot="1" x14ac:dyDescent="0.45">
      <c r="B60" s="244"/>
      <c r="C60" s="244"/>
      <c r="D60" s="78"/>
      <c r="E60" s="78"/>
      <c r="F60" s="78"/>
      <c r="G60" s="78"/>
      <c r="H60" s="80"/>
      <c r="I60" s="80"/>
      <c r="J60" s="78"/>
      <c r="K60" s="95" t="str">
        <f>(D132)</f>
        <v>Initial Individual Counseling</v>
      </c>
      <c r="L60" s="96"/>
      <c r="M60" s="99"/>
      <c r="N60" s="99"/>
      <c r="O60" s="97"/>
      <c r="P60" s="85"/>
      <c r="Q60" s="288" t="str">
        <f>(D134)</f>
        <v>Three-Day Transition Workshop</v>
      </c>
      <c r="R60" s="289"/>
      <c r="S60" s="290"/>
      <c r="T60" s="304" t="str">
        <f>(D136)</f>
        <v>Career &amp; Credential Exploration 2 Day Seminar</v>
      </c>
      <c r="U60" s="305"/>
      <c r="V60" s="85"/>
      <c r="W60" s="85"/>
      <c r="X60" s="84"/>
      <c r="Y60" s="84"/>
      <c r="Z60" s="84"/>
      <c r="AA60" s="84"/>
      <c r="AB60" s="84"/>
      <c r="AC60" s="85"/>
      <c r="AD60" s="85"/>
      <c r="AE60" s="84"/>
      <c r="AF60" s="95" t="str">
        <f>(D132)</f>
        <v>Initial Individual Counseling</v>
      </c>
      <c r="AG60" s="84"/>
      <c r="AH60" s="147"/>
      <c r="AK60" s="47"/>
      <c r="AL60" s="23"/>
      <c r="AM60" s="27"/>
      <c r="AO60" s="126"/>
    </row>
    <row r="61" spans="2:94" ht="30" thickBot="1" x14ac:dyDescent="0.45">
      <c r="B61" s="244"/>
      <c r="C61" s="244"/>
      <c r="D61" s="72"/>
      <c r="E61" s="73"/>
      <c r="F61" s="73"/>
      <c r="G61" s="73"/>
      <c r="H61" s="79"/>
      <c r="I61" s="79"/>
      <c r="J61" s="142" t="s">
        <v>83</v>
      </c>
      <c r="K61" s="81"/>
      <c r="L61" s="81"/>
      <c r="M61" s="98"/>
      <c r="N61" s="98"/>
      <c r="O61" s="82"/>
      <c r="P61" s="82"/>
      <c r="Q61" s="81"/>
      <c r="R61" s="81"/>
      <c r="S61" s="88" t="str">
        <f>(D140)</f>
        <v>VA Individual Appointments</v>
      </c>
      <c r="T61" s="81"/>
      <c r="U61" s="81"/>
      <c r="V61" s="82"/>
      <c r="W61" s="82"/>
      <c r="X61" s="81"/>
      <c r="Y61" s="81"/>
      <c r="Z61" s="81"/>
      <c r="AA61" s="81"/>
      <c r="AB61" s="81"/>
      <c r="AC61" s="82"/>
      <c r="AD61" s="82"/>
      <c r="AE61" s="81"/>
      <c r="AF61" s="81"/>
      <c r="AG61" s="81"/>
      <c r="AH61" s="83"/>
      <c r="AK61" s="47"/>
      <c r="AL61" s="26"/>
      <c r="AM61" s="29">
        <v>30</v>
      </c>
      <c r="AO61" s="126">
        <f>SUM(AO55-AM61)</f>
        <v>-25</v>
      </c>
    </row>
    <row r="62" spans="2:94" ht="15.75" thickBot="1" x14ac:dyDescent="0.25">
      <c r="B62" s="244"/>
      <c r="C62" s="244"/>
      <c r="AK62" s="47"/>
      <c r="AL62" s="23"/>
      <c r="AM62" s="28"/>
    </row>
    <row r="63" spans="2:94" x14ac:dyDescent="0.2">
      <c r="B63" s="244"/>
      <c r="C63" s="244"/>
      <c r="D63" s="194">
        <v>46296</v>
      </c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6"/>
      <c r="AJ63" s="162" t="s">
        <v>56</v>
      </c>
      <c r="AK63" s="47">
        <f>SUM(AK57+2.5-AM61)</f>
        <v>36.5</v>
      </c>
      <c r="AL63" s="23"/>
      <c r="AM63" s="24"/>
    </row>
    <row r="64" spans="2:94" x14ac:dyDescent="0.2">
      <c r="B64" s="244"/>
      <c r="C64" s="244"/>
      <c r="D64" s="4">
        <v>1</v>
      </c>
      <c r="E64" s="1">
        <v>2</v>
      </c>
      <c r="F64" s="10">
        <v>3</v>
      </c>
      <c r="G64" s="10">
        <v>4</v>
      </c>
      <c r="H64" s="1">
        <v>5</v>
      </c>
      <c r="I64" s="1">
        <v>6</v>
      </c>
      <c r="J64" s="1">
        <v>7</v>
      </c>
      <c r="K64" s="1">
        <v>8</v>
      </c>
      <c r="L64" s="1">
        <v>9</v>
      </c>
      <c r="M64" s="10">
        <v>10</v>
      </c>
      <c r="N64" s="10">
        <v>11</v>
      </c>
      <c r="O64" s="1">
        <v>12</v>
      </c>
      <c r="P64" s="1">
        <v>13</v>
      </c>
      <c r="Q64" s="1">
        <v>14</v>
      </c>
      <c r="R64" s="1">
        <v>15</v>
      </c>
      <c r="S64" s="1">
        <v>16</v>
      </c>
      <c r="T64" s="10">
        <v>17</v>
      </c>
      <c r="U64" s="10">
        <v>18</v>
      </c>
      <c r="V64" s="1">
        <v>19</v>
      </c>
      <c r="W64" s="1">
        <v>20</v>
      </c>
      <c r="X64" s="1">
        <v>21</v>
      </c>
      <c r="Y64" s="1">
        <v>22</v>
      </c>
      <c r="Z64" s="1">
        <v>23</v>
      </c>
      <c r="AA64" s="10">
        <v>24</v>
      </c>
      <c r="AB64" s="10">
        <v>25</v>
      </c>
      <c r="AC64" s="1">
        <v>26</v>
      </c>
      <c r="AD64" s="1">
        <v>27</v>
      </c>
      <c r="AE64" s="1">
        <v>28</v>
      </c>
      <c r="AF64" s="1">
        <v>29</v>
      </c>
      <c r="AG64" s="1">
        <v>30</v>
      </c>
      <c r="AH64" s="14">
        <v>31</v>
      </c>
      <c r="AI64" s="56"/>
      <c r="AJ64" s="56"/>
      <c r="AK64" s="47"/>
      <c r="AL64" s="23"/>
      <c r="AM64" s="24"/>
      <c r="BL64" s="262" t="s">
        <v>0</v>
      </c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</row>
    <row r="65" spans="1:94" ht="21.75" thickBot="1" x14ac:dyDescent="0.35">
      <c r="B65" s="244"/>
      <c r="C65" s="244"/>
      <c r="D65" s="307" t="s">
        <v>126</v>
      </c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265" t="s">
        <v>5</v>
      </c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310"/>
      <c r="AI65" s="56">
        <v>9</v>
      </c>
      <c r="AJ65" s="56"/>
      <c r="AK65" s="47"/>
      <c r="AL65" s="23"/>
      <c r="AM65" s="24"/>
      <c r="BL65">
        <v>1</v>
      </c>
      <c r="BM65">
        <v>2</v>
      </c>
      <c r="BN65">
        <v>3</v>
      </c>
      <c r="BO65">
        <v>4</v>
      </c>
      <c r="BP65">
        <v>5</v>
      </c>
      <c r="BQ65">
        <v>6</v>
      </c>
      <c r="BR65">
        <v>7</v>
      </c>
      <c r="BS65">
        <v>8</v>
      </c>
      <c r="BT65">
        <v>9</v>
      </c>
      <c r="BU65">
        <v>10</v>
      </c>
      <c r="BV65">
        <v>11</v>
      </c>
      <c r="BW65">
        <v>12</v>
      </c>
      <c r="BX65">
        <v>13</v>
      </c>
      <c r="BY65">
        <v>14</v>
      </c>
      <c r="BZ65">
        <v>15</v>
      </c>
      <c r="CA65">
        <v>16</v>
      </c>
      <c r="CB65">
        <v>17</v>
      </c>
      <c r="CC65">
        <v>18</v>
      </c>
      <c r="CD65">
        <v>19</v>
      </c>
      <c r="CE65">
        <v>20</v>
      </c>
      <c r="CF65">
        <v>21</v>
      </c>
      <c r="CG65">
        <v>22</v>
      </c>
      <c r="CH65">
        <v>23</v>
      </c>
      <c r="CI65">
        <v>24</v>
      </c>
      <c r="CJ65">
        <v>25</v>
      </c>
      <c r="CK65">
        <v>26</v>
      </c>
      <c r="CL65">
        <v>27</v>
      </c>
      <c r="CM65">
        <v>28</v>
      </c>
      <c r="CN65">
        <v>29</v>
      </c>
      <c r="CO65">
        <v>30</v>
      </c>
      <c r="CP65">
        <v>31</v>
      </c>
    </row>
    <row r="66" spans="1:94" ht="15.75" thickBot="1" x14ac:dyDescent="0.25">
      <c r="B66" s="244"/>
      <c r="C66" s="244"/>
      <c r="D66" s="4"/>
      <c r="E66" s="1"/>
      <c r="F66" s="10"/>
      <c r="G66" s="10"/>
      <c r="H66" s="250" t="str">
        <f>(D135)</f>
        <v>Entrepreneurship 2-Day Seminar</v>
      </c>
      <c r="I66" s="251"/>
      <c r="J66" s="1"/>
      <c r="K66" s="1"/>
      <c r="L66" s="1"/>
      <c r="M66" s="10"/>
      <c r="N66" s="10"/>
      <c r="O66" s="1"/>
      <c r="P66" s="1"/>
      <c r="Q66" s="1"/>
      <c r="R66" s="1"/>
      <c r="S66" s="1"/>
      <c r="T66" s="10"/>
      <c r="U66" s="10"/>
      <c r="V66" s="288" t="str">
        <f>(D134)</f>
        <v>Three-Day Transition Workshop</v>
      </c>
      <c r="W66" s="289"/>
      <c r="X66" s="290"/>
      <c r="Y66" s="257" t="str">
        <f>(D137)</f>
        <v>Employment 2 Day Seminar</v>
      </c>
      <c r="Z66" s="258"/>
      <c r="AA66" s="10"/>
      <c r="AB66" s="10"/>
      <c r="AC66" s="1"/>
      <c r="AD66" s="93" t="str">
        <f>(D133)</f>
        <v>Pre Separation Brief</v>
      </c>
      <c r="AE66" s="1"/>
      <c r="AF66" s="94" t="str">
        <f>(D138)</f>
        <v>Education  2 Day Seminar</v>
      </c>
      <c r="AG66" s="1"/>
      <c r="AH66" s="14"/>
      <c r="AK66" s="47"/>
      <c r="AL66" s="23"/>
      <c r="AM66" s="27"/>
    </row>
    <row r="67" spans="1:94" ht="15.75" thickBot="1" x14ac:dyDescent="0.25">
      <c r="B67" s="244"/>
      <c r="C67" s="244"/>
      <c r="D67" s="4"/>
      <c r="E67" s="1"/>
      <c r="F67" s="10"/>
      <c r="G67" s="10"/>
      <c r="H67" s="70" t="s">
        <v>89</v>
      </c>
      <c r="I67" s="1"/>
      <c r="J67" s="1"/>
      <c r="K67" s="1"/>
      <c r="L67" s="70" t="s">
        <v>29</v>
      </c>
      <c r="M67" s="10"/>
      <c r="N67" s="10"/>
      <c r="O67" s="141" t="s">
        <v>84</v>
      </c>
      <c r="P67" s="1"/>
      <c r="Q67" s="1"/>
      <c r="R67" s="1"/>
      <c r="S67" s="1"/>
      <c r="T67" s="10"/>
      <c r="U67" s="10"/>
      <c r="V67" s="1"/>
      <c r="W67" s="1"/>
      <c r="X67" s="88" t="str">
        <f>(D140)</f>
        <v>VA Individual Appointments</v>
      </c>
      <c r="Y67" s="1"/>
      <c r="Z67" s="1"/>
      <c r="AA67" s="10"/>
      <c r="AB67" s="10"/>
      <c r="AC67" s="1"/>
      <c r="AD67" s="1"/>
      <c r="AE67" s="1"/>
      <c r="AF67" s="1"/>
      <c r="AG67" s="1"/>
      <c r="AH67" s="15"/>
      <c r="AK67" s="47"/>
      <c r="AL67" s="26"/>
      <c r="AM67" s="29">
        <v>16</v>
      </c>
    </row>
    <row r="68" spans="1:94" ht="15.75" thickBot="1" x14ac:dyDescent="0.25">
      <c r="B68" s="244"/>
      <c r="C68" s="24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K68" s="47"/>
      <c r="AL68" s="23"/>
      <c r="AM68" s="28"/>
    </row>
    <row r="69" spans="1:94" ht="15.75" thickBot="1" x14ac:dyDescent="0.25">
      <c r="B69" s="244"/>
      <c r="C69" s="244"/>
      <c r="D69" s="190">
        <v>46327</v>
      </c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2"/>
      <c r="AG69" s="192"/>
      <c r="AH69" s="193"/>
      <c r="AJ69" s="162" t="s">
        <v>57</v>
      </c>
      <c r="AK69" s="47">
        <f>SUM(AK63+2.5-AM67)</f>
        <v>23</v>
      </c>
      <c r="AL69" s="23"/>
      <c r="AM69" s="24"/>
    </row>
    <row r="70" spans="1:94" ht="15.75" thickBot="1" x14ac:dyDescent="0.25">
      <c r="B70" s="244"/>
      <c r="C70" s="244"/>
      <c r="D70" s="120">
        <v>1</v>
      </c>
      <c r="E70" s="57">
        <v>2</v>
      </c>
      <c r="F70" s="57">
        <v>3</v>
      </c>
      <c r="G70" s="57">
        <v>4</v>
      </c>
      <c r="H70" s="57">
        <v>5</v>
      </c>
      <c r="I70" s="57">
        <v>6</v>
      </c>
      <c r="J70" s="58">
        <v>7</v>
      </c>
      <c r="K70" s="58">
        <v>8</v>
      </c>
      <c r="L70" s="57">
        <v>9</v>
      </c>
      <c r="M70" s="57">
        <v>10</v>
      </c>
      <c r="N70" s="57">
        <v>11</v>
      </c>
      <c r="O70" s="57">
        <v>12</v>
      </c>
      <c r="P70" s="57">
        <v>13</v>
      </c>
      <c r="Q70" s="58">
        <v>14</v>
      </c>
      <c r="R70" s="58">
        <v>15</v>
      </c>
      <c r="S70" s="57">
        <v>16</v>
      </c>
      <c r="T70" s="57">
        <v>17</v>
      </c>
      <c r="U70" s="57">
        <v>18</v>
      </c>
      <c r="V70" s="57">
        <v>19</v>
      </c>
      <c r="W70" s="57">
        <v>20</v>
      </c>
      <c r="X70" s="58">
        <v>21</v>
      </c>
      <c r="Y70" s="58">
        <v>22</v>
      </c>
      <c r="Z70" s="57">
        <v>23</v>
      </c>
      <c r="AA70" s="57">
        <v>24</v>
      </c>
      <c r="AB70" s="68">
        <v>25</v>
      </c>
      <c r="AC70" s="68">
        <v>26</v>
      </c>
      <c r="AD70" s="68">
        <v>27</v>
      </c>
      <c r="AE70" s="69">
        <v>28</v>
      </c>
      <c r="AF70" s="69">
        <v>29</v>
      </c>
      <c r="AG70" s="64">
        <v>30</v>
      </c>
      <c r="AH70" s="3"/>
      <c r="AI70" s="56"/>
      <c r="AJ70" s="56"/>
      <c r="AK70" s="47"/>
      <c r="AL70" s="23"/>
      <c r="AM70" s="24"/>
    </row>
    <row r="71" spans="1:94" ht="21.75" thickBot="1" x14ac:dyDescent="0.35">
      <c r="A71" s="67"/>
      <c r="B71" s="244"/>
      <c r="C71" s="244"/>
      <c r="D71" s="359" t="s">
        <v>124</v>
      </c>
      <c r="E71" s="360"/>
      <c r="F71" s="360"/>
      <c r="G71" s="360"/>
      <c r="H71" s="360"/>
      <c r="I71" s="361"/>
      <c r="J71" s="358" t="s">
        <v>17</v>
      </c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6"/>
      <c r="AH71" s="5"/>
      <c r="AI71" s="162">
        <v>13</v>
      </c>
      <c r="AK71" s="47"/>
      <c r="AL71" s="23"/>
      <c r="AM71" s="24"/>
    </row>
    <row r="72" spans="1:94" ht="15.75" thickBot="1" x14ac:dyDescent="0.25">
      <c r="B72" s="244"/>
      <c r="C72" s="244"/>
      <c r="D72" s="121"/>
      <c r="E72" s="59"/>
      <c r="F72" s="122" t="s">
        <v>18</v>
      </c>
      <c r="G72" s="59"/>
      <c r="H72" s="59"/>
      <c r="I72" s="59"/>
      <c r="J72" s="60"/>
      <c r="K72" s="60"/>
      <c r="L72" s="59"/>
      <c r="M72" s="59"/>
      <c r="N72" s="59"/>
      <c r="O72" s="298" t="str">
        <f>(D136)</f>
        <v>Career &amp; Credential Exploration 2 Day Seminar</v>
      </c>
      <c r="P72" s="299"/>
      <c r="Q72" s="60"/>
      <c r="R72" s="60"/>
      <c r="S72" s="295" t="str">
        <f>(D134)</f>
        <v>Three-Day Transition Workshop</v>
      </c>
      <c r="T72" s="296"/>
      <c r="U72" s="297"/>
      <c r="V72" s="280" t="str">
        <f>(D137)</f>
        <v>Employment 2 Day Seminar</v>
      </c>
      <c r="W72" s="281"/>
      <c r="X72" s="60"/>
      <c r="Y72" s="60"/>
      <c r="Z72" s="282" t="s">
        <v>80</v>
      </c>
      <c r="AA72" s="283"/>
      <c r="AB72" s="283"/>
      <c r="AC72" s="283"/>
      <c r="AD72" s="300"/>
      <c r="AE72" s="60"/>
      <c r="AF72" s="60"/>
      <c r="AG72" s="1"/>
      <c r="AH72" s="5"/>
      <c r="AK72" s="47"/>
      <c r="AL72" s="23"/>
      <c r="AM72" s="27"/>
    </row>
    <row r="73" spans="1:94" ht="15.75" thickBot="1" x14ac:dyDescent="0.25">
      <c r="B73" s="244"/>
      <c r="C73" s="244"/>
      <c r="D73" s="13"/>
      <c r="E73" s="7"/>
      <c r="F73" s="92" t="str">
        <f>(D133)</f>
        <v>Pre Separation Brief</v>
      </c>
      <c r="G73" s="7"/>
      <c r="H73" s="7"/>
      <c r="I73" s="7"/>
      <c r="J73" s="11"/>
      <c r="K73" s="11"/>
      <c r="L73" s="7"/>
      <c r="M73" s="143" t="s">
        <v>111</v>
      </c>
      <c r="N73" s="143" t="s">
        <v>85</v>
      </c>
      <c r="O73" s="7"/>
      <c r="P73" s="7"/>
      <c r="Q73" s="11"/>
      <c r="R73" s="11"/>
      <c r="S73" s="7"/>
      <c r="T73" s="7"/>
      <c r="U73" s="89" t="str">
        <f>(D140)</f>
        <v>VA Individual Appointments</v>
      </c>
      <c r="V73" s="7"/>
      <c r="W73" s="7"/>
      <c r="X73" s="11"/>
      <c r="Y73" s="11"/>
      <c r="Z73" s="7"/>
      <c r="AA73" s="123" t="str">
        <f>(D133)</f>
        <v>Pre Separation Brief</v>
      </c>
      <c r="AB73" s="7"/>
      <c r="AC73" s="211" t="s">
        <v>2</v>
      </c>
      <c r="AD73" s="212"/>
      <c r="AE73" s="11"/>
      <c r="AF73" s="11"/>
      <c r="AG73" s="7"/>
      <c r="AH73" s="8"/>
      <c r="AK73" s="47"/>
      <c r="AL73" s="26"/>
      <c r="AM73" s="29">
        <v>6</v>
      </c>
    </row>
    <row r="74" spans="1:94" ht="15.75" thickBot="1" x14ac:dyDescent="0.25">
      <c r="B74" s="244"/>
      <c r="C74" s="24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K74" s="47"/>
      <c r="AL74" s="23"/>
      <c r="AM74" s="28"/>
    </row>
    <row r="75" spans="1:94" x14ac:dyDescent="0.2">
      <c r="B75" s="244"/>
      <c r="C75" s="244"/>
      <c r="D75" s="217">
        <v>46357</v>
      </c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9"/>
      <c r="AG75" s="219"/>
      <c r="AH75" s="220"/>
      <c r="AJ75" s="162" t="s">
        <v>58</v>
      </c>
      <c r="AK75" s="47">
        <f>SUM(AK69+2.5-AM73)</f>
        <v>19.5</v>
      </c>
      <c r="AL75" s="23"/>
      <c r="AM75" s="24"/>
    </row>
    <row r="76" spans="1:94" ht="15.75" thickBot="1" x14ac:dyDescent="0.25">
      <c r="B76" s="244"/>
      <c r="C76" s="244"/>
      <c r="D76" s="61">
        <v>1</v>
      </c>
      <c r="E76" s="62">
        <v>2</v>
      </c>
      <c r="F76" s="62">
        <v>3</v>
      </c>
      <c r="G76" s="62">
        <v>4</v>
      </c>
      <c r="H76" s="63">
        <v>5</v>
      </c>
      <c r="I76" s="63">
        <v>6</v>
      </c>
      <c r="J76" s="62">
        <v>7</v>
      </c>
      <c r="K76" s="62">
        <v>8</v>
      </c>
      <c r="L76" s="62">
        <v>9</v>
      </c>
      <c r="M76" s="62">
        <v>10</v>
      </c>
      <c r="N76" s="62">
        <v>11</v>
      </c>
      <c r="O76" s="63">
        <v>12</v>
      </c>
      <c r="P76" s="63">
        <v>13</v>
      </c>
      <c r="Q76" s="62">
        <v>14</v>
      </c>
      <c r="R76" s="62">
        <v>15</v>
      </c>
      <c r="S76" s="62">
        <v>16</v>
      </c>
      <c r="T76" s="62">
        <v>17</v>
      </c>
      <c r="U76" s="62">
        <v>18</v>
      </c>
      <c r="V76" s="63">
        <v>19</v>
      </c>
      <c r="W76" s="63">
        <v>20</v>
      </c>
      <c r="X76" s="62">
        <v>21</v>
      </c>
      <c r="Y76" s="62">
        <v>22</v>
      </c>
      <c r="Z76" s="62">
        <v>23</v>
      </c>
      <c r="AA76" s="62">
        <v>24</v>
      </c>
      <c r="AB76" s="62">
        <v>25</v>
      </c>
      <c r="AC76" s="63">
        <v>26</v>
      </c>
      <c r="AD76" s="63">
        <v>27</v>
      </c>
      <c r="AE76" s="62">
        <v>28</v>
      </c>
      <c r="AF76" s="62">
        <v>29</v>
      </c>
      <c r="AG76" s="62">
        <v>30</v>
      </c>
      <c r="AH76" s="62">
        <v>31</v>
      </c>
      <c r="AK76" s="47"/>
      <c r="AL76" s="23"/>
      <c r="AM76" s="24"/>
    </row>
    <row r="77" spans="1:94" ht="21.75" thickBot="1" x14ac:dyDescent="0.35">
      <c r="B77" s="244"/>
      <c r="C77" s="244"/>
      <c r="D77" s="285" t="s">
        <v>125</v>
      </c>
      <c r="E77" s="286"/>
      <c r="F77" s="286"/>
      <c r="G77" s="286"/>
      <c r="H77" s="362" t="s">
        <v>121</v>
      </c>
      <c r="I77" s="362"/>
      <c r="J77" s="362"/>
      <c r="K77" s="362"/>
      <c r="L77" s="362"/>
      <c r="M77" s="362"/>
      <c r="N77" s="362"/>
      <c r="O77" s="362"/>
      <c r="P77" s="362"/>
      <c r="Q77" s="362"/>
      <c r="R77" s="362"/>
      <c r="S77" s="362"/>
      <c r="T77" s="362"/>
      <c r="U77" s="362"/>
      <c r="V77" s="362"/>
      <c r="W77" s="362"/>
      <c r="X77" s="362"/>
      <c r="Y77" s="362"/>
      <c r="Z77" s="362"/>
      <c r="AA77" s="362"/>
      <c r="AB77" s="362"/>
      <c r="AC77" s="362"/>
      <c r="AD77" s="362"/>
      <c r="AE77" s="362"/>
      <c r="AF77" s="362"/>
      <c r="AG77" s="362"/>
      <c r="AH77" s="363"/>
      <c r="AI77" s="162">
        <v>20</v>
      </c>
      <c r="AK77" s="47"/>
      <c r="AL77" s="23"/>
      <c r="AM77" s="24"/>
    </row>
    <row r="78" spans="1:94" ht="15.75" thickBot="1" x14ac:dyDescent="0.25">
      <c r="B78" s="244"/>
      <c r="C78" s="244"/>
      <c r="D78" s="137" t="str">
        <f>(D133)</f>
        <v>Pre Separation Brief</v>
      </c>
      <c r="E78" s="59"/>
      <c r="F78" s="59"/>
      <c r="G78" s="59"/>
      <c r="H78" s="60"/>
      <c r="I78" s="60"/>
      <c r="J78" s="295" t="str">
        <f>(D134)</f>
        <v>Three-Day Transition Workshop</v>
      </c>
      <c r="K78" s="296"/>
      <c r="L78" s="297"/>
      <c r="M78" s="280" t="str">
        <f>(D137)</f>
        <v>Employment 2 Day Seminar</v>
      </c>
      <c r="N78" s="281"/>
      <c r="O78" s="60"/>
      <c r="P78" s="60"/>
      <c r="Q78" s="59"/>
      <c r="R78" s="138"/>
      <c r="S78" s="59"/>
      <c r="T78" s="59"/>
      <c r="U78" s="59"/>
      <c r="V78" s="60"/>
      <c r="W78" s="60"/>
      <c r="X78" s="282" t="s">
        <v>80</v>
      </c>
      <c r="Y78" s="283"/>
      <c r="Z78" s="283"/>
      <c r="AA78" s="283"/>
      <c r="AB78" s="283"/>
      <c r="AC78" s="283"/>
      <c r="AD78" s="283"/>
      <c r="AE78" s="283"/>
      <c r="AF78" s="283"/>
      <c r="AG78" s="283"/>
      <c r="AH78" s="284"/>
      <c r="AK78" s="47"/>
      <c r="AL78" s="23"/>
      <c r="AM78" s="27"/>
    </row>
    <row r="79" spans="1:94" ht="15.75" thickBot="1" x14ac:dyDescent="0.25">
      <c r="B79" s="244"/>
      <c r="C79" s="244"/>
      <c r="D79" s="6"/>
      <c r="E79" s="7"/>
      <c r="F79" s="7"/>
      <c r="G79" s="7"/>
      <c r="H79" s="11"/>
      <c r="I79" s="11"/>
      <c r="J79" s="7"/>
      <c r="K79" s="7"/>
      <c r="L79" s="89" t="str">
        <f>(D140)</f>
        <v>VA Individual Appointments</v>
      </c>
      <c r="M79" s="7"/>
      <c r="N79" s="7"/>
      <c r="O79" s="11"/>
      <c r="P79" s="11"/>
      <c r="Q79" s="7"/>
      <c r="R79" s="90" t="str">
        <f>(D133)</f>
        <v>Pre Separation Brief</v>
      </c>
      <c r="S79" s="7"/>
      <c r="T79" s="7"/>
      <c r="U79" s="7"/>
      <c r="V79" s="11"/>
      <c r="W79" s="11"/>
      <c r="X79" s="7"/>
      <c r="Y79" s="7"/>
      <c r="Z79" s="7"/>
      <c r="AA79" s="22" t="s">
        <v>3</v>
      </c>
      <c r="AB79" s="22" t="s">
        <v>3</v>
      </c>
      <c r="AC79" s="11"/>
      <c r="AD79" s="11"/>
      <c r="AE79" s="7"/>
      <c r="AF79" s="7"/>
      <c r="AG79" s="7"/>
      <c r="AH79" s="22" t="s">
        <v>3</v>
      </c>
      <c r="AK79" s="47"/>
      <c r="AL79" s="26"/>
      <c r="AM79" s="29">
        <v>0</v>
      </c>
    </row>
    <row r="80" spans="1:94" ht="15.75" thickBot="1" x14ac:dyDescent="0.25">
      <c r="B80" s="244"/>
      <c r="C80" s="24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K80" s="47"/>
      <c r="AL80" s="23"/>
      <c r="AM80" s="28"/>
    </row>
    <row r="81" spans="2:41" ht="24.75" x14ac:dyDescent="0.35">
      <c r="B81" s="244"/>
      <c r="C81" s="244"/>
      <c r="D81" s="194">
        <v>46388</v>
      </c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6"/>
      <c r="AI81" s="140"/>
      <c r="AJ81" s="162" t="s">
        <v>59</v>
      </c>
      <c r="AK81" s="47">
        <f>SUM(AK75+2.5-AM79)</f>
        <v>22</v>
      </c>
      <c r="AL81" s="23"/>
      <c r="AM81" s="24"/>
    </row>
    <row r="82" spans="2:41" x14ac:dyDescent="0.2">
      <c r="B82" s="244"/>
      <c r="C82" s="244"/>
      <c r="D82" s="4">
        <v>1</v>
      </c>
      <c r="E82" s="10">
        <v>2</v>
      </c>
      <c r="F82" s="10">
        <v>3</v>
      </c>
      <c r="G82" s="1">
        <v>4</v>
      </c>
      <c r="H82" s="1">
        <v>5</v>
      </c>
      <c r="I82" s="1">
        <v>6</v>
      </c>
      <c r="J82" s="1">
        <v>7</v>
      </c>
      <c r="K82" s="1">
        <v>8</v>
      </c>
      <c r="L82" s="10">
        <v>9</v>
      </c>
      <c r="M82" s="10">
        <v>10</v>
      </c>
      <c r="N82" s="1">
        <v>11</v>
      </c>
      <c r="O82" s="1">
        <v>12</v>
      </c>
      <c r="P82" s="1">
        <v>13</v>
      </c>
      <c r="Q82" s="1">
        <v>14</v>
      </c>
      <c r="R82" s="1">
        <v>15</v>
      </c>
      <c r="S82" s="10">
        <v>16</v>
      </c>
      <c r="T82" s="10">
        <v>17</v>
      </c>
      <c r="U82" s="1">
        <v>18</v>
      </c>
      <c r="V82" s="1">
        <v>19</v>
      </c>
      <c r="W82" s="1">
        <v>20</v>
      </c>
      <c r="X82" s="1">
        <v>21</v>
      </c>
      <c r="Y82" s="1">
        <v>22</v>
      </c>
      <c r="Z82" s="10">
        <v>23</v>
      </c>
      <c r="AA82" s="10">
        <v>24</v>
      </c>
      <c r="AB82" s="1">
        <v>25</v>
      </c>
      <c r="AC82" s="1">
        <v>26</v>
      </c>
      <c r="AD82" s="1">
        <v>27</v>
      </c>
      <c r="AE82" s="1">
        <v>28</v>
      </c>
      <c r="AF82" s="1">
        <v>29</v>
      </c>
      <c r="AG82" s="10">
        <v>30</v>
      </c>
      <c r="AH82" s="40">
        <v>31</v>
      </c>
      <c r="AI82" s="162" t="s">
        <v>86</v>
      </c>
      <c r="AK82" s="47"/>
      <c r="AL82" s="23"/>
      <c r="AM82" s="24"/>
    </row>
    <row r="83" spans="2:41" ht="24.75" x14ac:dyDescent="0.35">
      <c r="B83" s="244"/>
      <c r="C83" s="244"/>
      <c r="D83" s="292" t="s">
        <v>36</v>
      </c>
      <c r="E83" s="293"/>
      <c r="F83" s="293"/>
      <c r="G83" s="318" t="s">
        <v>122</v>
      </c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9"/>
      <c r="AI83" s="140">
        <f>SUM(AI55:AI82)</f>
        <v>42</v>
      </c>
      <c r="AK83" s="47"/>
      <c r="AL83" s="23"/>
      <c r="AM83" s="24"/>
    </row>
    <row r="84" spans="2:41" ht="15.75" thickBot="1" x14ac:dyDescent="0.25">
      <c r="B84" s="244"/>
      <c r="C84" s="244"/>
      <c r="D84" s="4"/>
      <c r="E84" s="10"/>
      <c r="F84" s="10"/>
      <c r="G84" s="1"/>
      <c r="H84" s="1"/>
      <c r="I84" s="1"/>
      <c r="J84" s="1"/>
      <c r="K84" s="1"/>
      <c r="L84" s="10"/>
      <c r="M84" s="10"/>
      <c r="N84" s="1"/>
      <c r="O84" s="1"/>
      <c r="P84" s="1"/>
      <c r="Q84" s="1"/>
      <c r="R84" s="1"/>
      <c r="S84" s="10"/>
      <c r="T84" s="10"/>
      <c r="U84" s="1"/>
      <c r="V84" s="1"/>
      <c r="W84" s="1"/>
      <c r="X84" s="1"/>
      <c r="Y84" s="1"/>
      <c r="Z84" s="10"/>
      <c r="AA84" s="10"/>
      <c r="AB84" s="1"/>
      <c r="AC84" s="1"/>
      <c r="AD84" s="1"/>
      <c r="AE84" s="1"/>
      <c r="AF84" s="1"/>
      <c r="AG84" s="10"/>
      <c r="AH84" s="40"/>
      <c r="AK84" s="47"/>
      <c r="AL84" s="23"/>
      <c r="AM84" s="27"/>
    </row>
    <row r="85" spans="2:41" ht="25.5" thickBot="1" x14ac:dyDescent="0.4">
      <c r="B85" s="244"/>
      <c r="C85" s="244"/>
      <c r="D85" s="21" t="s">
        <v>2</v>
      </c>
      <c r="E85" s="10"/>
      <c r="F85" s="10"/>
      <c r="G85" s="1"/>
      <c r="H85" s="1"/>
      <c r="I85" s="1"/>
      <c r="J85" s="1"/>
      <c r="K85" s="1"/>
      <c r="L85" s="10"/>
      <c r="M85" s="10"/>
      <c r="N85" s="1"/>
      <c r="O85" s="1"/>
      <c r="P85" s="1"/>
      <c r="Q85" s="1"/>
      <c r="R85" s="1"/>
      <c r="S85" s="10"/>
      <c r="T85" s="10"/>
      <c r="U85" s="141" t="s">
        <v>81</v>
      </c>
      <c r="V85" s="1"/>
      <c r="W85" s="1"/>
      <c r="X85" s="1"/>
      <c r="Y85" s="1"/>
      <c r="Z85" s="10"/>
      <c r="AA85" s="10"/>
      <c r="AB85" s="1"/>
      <c r="AC85" s="1"/>
      <c r="AD85" s="1"/>
      <c r="AE85" s="1"/>
      <c r="AF85" s="1"/>
      <c r="AG85" s="10"/>
      <c r="AH85" s="40"/>
      <c r="AI85" s="140"/>
      <c r="AK85" s="47"/>
      <c r="AL85" s="26"/>
      <c r="AM85" s="29">
        <v>0</v>
      </c>
    </row>
    <row r="86" spans="2:41" ht="25.5" thickBot="1" x14ac:dyDescent="0.4">
      <c r="B86" s="244"/>
      <c r="C86" s="244"/>
      <c r="AI86" s="140" t="s">
        <v>87</v>
      </c>
      <c r="AK86" s="47"/>
      <c r="AL86" s="23"/>
      <c r="AM86" s="28"/>
    </row>
    <row r="87" spans="2:41" ht="24.75" x14ac:dyDescent="0.35">
      <c r="B87" s="244"/>
      <c r="C87" s="244"/>
      <c r="D87" s="194">
        <v>46419</v>
      </c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6"/>
      <c r="AI87" s="140">
        <f>AK117</f>
        <v>4</v>
      </c>
      <c r="AJ87" s="162" t="s">
        <v>60</v>
      </c>
      <c r="AK87" s="47">
        <f>SUM(AK81+2.5-AM85)</f>
        <v>24.5</v>
      </c>
      <c r="AL87" s="23"/>
      <c r="AM87" s="24"/>
    </row>
    <row r="88" spans="2:41" x14ac:dyDescent="0.2">
      <c r="B88" s="244"/>
      <c r="C88" s="244"/>
      <c r="D88" s="4">
        <v>1</v>
      </c>
      <c r="E88" s="1">
        <v>2</v>
      </c>
      <c r="F88" s="1">
        <v>3</v>
      </c>
      <c r="G88" s="1">
        <v>4</v>
      </c>
      <c r="H88" s="1">
        <v>5</v>
      </c>
      <c r="I88" s="38">
        <v>6</v>
      </c>
      <c r="J88" s="38">
        <v>7</v>
      </c>
      <c r="K88" s="1">
        <v>8</v>
      </c>
      <c r="L88" s="1">
        <v>9</v>
      </c>
      <c r="M88" s="1">
        <v>10</v>
      </c>
      <c r="N88" s="1">
        <v>11</v>
      </c>
      <c r="O88" s="1">
        <v>12</v>
      </c>
      <c r="P88" s="38">
        <v>13</v>
      </c>
      <c r="Q88" s="38">
        <v>14</v>
      </c>
      <c r="R88" s="1">
        <v>15</v>
      </c>
      <c r="S88" s="1">
        <v>16</v>
      </c>
      <c r="T88" s="1">
        <v>17</v>
      </c>
      <c r="U88" s="1">
        <v>18</v>
      </c>
      <c r="V88" s="1">
        <v>19</v>
      </c>
      <c r="W88" s="38">
        <v>20</v>
      </c>
      <c r="X88" s="38">
        <v>21</v>
      </c>
      <c r="Y88" s="1">
        <v>22</v>
      </c>
      <c r="Z88" s="1">
        <v>23</v>
      </c>
      <c r="AA88" s="62">
        <v>24</v>
      </c>
      <c r="AB88" s="62">
        <v>25</v>
      </c>
      <c r="AC88" s="62">
        <v>26</v>
      </c>
      <c r="AD88" s="103">
        <v>27</v>
      </c>
      <c r="AE88" s="103">
        <v>28</v>
      </c>
      <c r="AF88" s="1"/>
      <c r="AG88" s="1"/>
      <c r="AH88" s="5"/>
      <c r="AK88" s="47"/>
      <c r="AL88" s="23"/>
      <c r="AM88" s="24"/>
    </row>
    <row r="89" spans="2:41" x14ac:dyDescent="0.2">
      <c r="B89" s="244"/>
      <c r="C89" s="244"/>
      <c r="D89" s="267" t="s">
        <v>119</v>
      </c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9"/>
      <c r="AF89" s="102"/>
      <c r="AG89" s="1"/>
      <c r="AH89" s="5"/>
      <c r="AK89" s="47"/>
      <c r="AL89" s="23"/>
      <c r="AM89" s="24"/>
      <c r="AO89">
        <v>28</v>
      </c>
    </row>
    <row r="90" spans="2:41" ht="15.75" thickBot="1" x14ac:dyDescent="0.25">
      <c r="B90" s="244"/>
      <c r="C90" s="244"/>
      <c r="D90" s="4"/>
      <c r="E90" s="1"/>
      <c r="F90" s="1"/>
      <c r="G90" s="1"/>
      <c r="H90" s="1"/>
      <c r="I90" s="38"/>
      <c r="J90" s="38"/>
      <c r="K90" s="1"/>
      <c r="L90" s="1"/>
      <c r="M90" s="1"/>
      <c r="N90" s="1"/>
      <c r="O90" s="1"/>
      <c r="P90" s="38"/>
      <c r="Q90" s="38"/>
      <c r="R90" s="1"/>
      <c r="S90" s="1"/>
      <c r="T90" s="1"/>
      <c r="U90" s="1"/>
      <c r="V90" s="1"/>
      <c r="W90" s="38"/>
      <c r="X90" s="38"/>
      <c r="Y90" s="1"/>
      <c r="Z90" s="1"/>
      <c r="AA90" s="59"/>
      <c r="AB90" s="59"/>
      <c r="AC90" s="59"/>
      <c r="AD90" s="104"/>
      <c r="AE90" s="104"/>
      <c r="AF90" s="1"/>
      <c r="AG90" s="1"/>
      <c r="AH90" s="5"/>
      <c r="AK90" s="47"/>
      <c r="AL90" s="23"/>
      <c r="AM90" s="27"/>
      <c r="AO90">
        <v>28</v>
      </c>
    </row>
    <row r="91" spans="2:41" ht="15.75" thickBot="1" x14ac:dyDescent="0.25">
      <c r="B91" s="244"/>
      <c r="C91" s="244"/>
      <c r="D91" s="4"/>
      <c r="E91" s="1"/>
      <c r="F91" s="1"/>
      <c r="G91" s="1"/>
      <c r="H91" s="1"/>
      <c r="I91" s="38"/>
      <c r="J91" s="38"/>
      <c r="K91" s="22" t="s">
        <v>9</v>
      </c>
      <c r="L91" s="1"/>
      <c r="M91" s="1"/>
      <c r="N91" s="1"/>
      <c r="O91" s="1"/>
      <c r="P91" s="38"/>
      <c r="Q91" s="38"/>
      <c r="R91" s="141" t="s">
        <v>82</v>
      </c>
      <c r="S91" s="1"/>
      <c r="T91" s="1"/>
      <c r="U91" s="1"/>
      <c r="V91" s="1"/>
      <c r="W91" s="38"/>
      <c r="X91" s="38"/>
      <c r="Y91" s="1"/>
      <c r="Z91" s="1"/>
      <c r="AA91" s="1"/>
      <c r="AB91" s="1"/>
      <c r="AC91" s="1"/>
      <c r="AD91" s="38"/>
      <c r="AE91" s="38"/>
      <c r="AF91" s="1"/>
      <c r="AG91" s="1"/>
      <c r="AH91" s="5"/>
      <c r="AK91" s="47"/>
      <c r="AL91" s="26"/>
      <c r="AM91" s="29">
        <v>0</v>
      </c>
      <c r="AO91">
        <v>31</v>
      </c>
    </row>
    <row r="92" spans="2:41" ht="25.5" thickBot="1" x14ac:dyDescent="0.4">
      <c r="B92" s="244"/>
      <c r="C92" s="24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140"/>
      <c r="AK92" s="47"/>
      <c r="AL92" s="23"/>
      <c r="AM92" s="28"/>
      <c r="AO92">
        <v>30</v>
      </c>
    </row>
    <row r="93" spans="2:41" x14ac:dyDescent="0.2">
      <c r="B93" s="244"/>
      <c r="C93" s="244"/>
      <c r="D93" s="194">
        <v>46447</v>
      </c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6"/>
      <c r="AJ93" s="162" t="s">
        <v>61</v>
      </c>
      <c r="AK93" s="47">
        <f>SUM(AK87+2.5-AM91)</f>
        <v>27</v>
      </c>
      <c r="AL93" s="23"/>
      <c r="AM93" s="24"/>
      <c r="AO93">
        <f>SUM(AO89:AO92)</f>
        <v>117</v>
      </c>
    </row>
    <row r="94" spans="2:41" x14ac:dyDescent="0.2">
      <c r="B94" s="244"/>
      <c r="C94" s="244"/>
      <c r="D94" s="4">
        <v>1</v>
      </c>
      <c r="E94" s="1">
        <v>2</v>
      </c>
      <c r="F94" s="1">
        <v>3</v>
      </c>
      <c r="G94" s="1">
        <v>4</v>
      </c>
      <c r="H94" s="1">
        <v>5</v>
      </c>
      <c r="I94" s="10">
        <v>6</v>
      </c>
      <c r="J94" s="10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0">
        <v>13</v>
      </c>
      <c r="Q94" s="10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0">
        <v>20</v>
      </c>
      <c r="X94" s="10">
        <v>21</v>
      </c>
      <c r="Y94" s="1">
        <v>22</v>
      </c>
      <c r="Z94" s="1">
        <v>23</v>
      </c>
      <c r="AA94" s="1">
        <v>24</v>
      </c>
      <c r="AB94" s="1">
        <v>25</v>
      </c>
      <c r="AC94" s="1">
        <v>26</v>
      </c>
      <c r="AD94" s="10">
        <v>27</v>
      </c>
      <c r="AE94" s="10">
        <v>28</v>
      </c>
      <c r="AF94" s="1">
        <v>29</v>
      </c>
      <c r="AG94" s="1">
        <v>30</v>
      </c>
      <c r="AH94" s="5">
        <v>31</v>
      </c>
      <c r="AK94" s="47"/>
      <c r="AL94" s="23"/>
      <c r="AM94" s="24"/>
    </row>
    <row r="95" spans="2:41" ht="15.75" thickBot="1" x14ac:dyDescent="0.25">
      <c r="B95" s="244"/>
      <c r="C95" s="244"/>
      <c r="D95" s="274" t="s">
        <v>114</v>
      </c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  <c r="AB95" s="275"/>
      <c r="AC95" s="275"/>
      <c r="AD95" s="275"/>
      <c r="AE95" s="275"/>
      <c r="AF95" s="275"/>
      <c r="AG95" s="275"/>
      <c r="AH95" s="276"/>
      <c r="AK95" s="47"/>
      <c r="AL95" s="23"/>
      <c r="AM95" s="24"/>
    </row>
    <row r="96" spans="2:41" ht="15.75" thickBot="1" x14ac:dyDescent="0.25">
      <c r="B96" s="244"/>
      <c r="C96" s="244"/>
      <c r="D96" s="4"/>
      <c r="E96" s="1"/>
      <c r="F96" s="1"/>
      <c r="G96" s="1"/>
      <c r="H96" s="1"/>
      <c r="I96" s="10"/>
      <c r="J96" s="10"/>
      <c r="K96" s="1"/>
      <c r="L96" s="1"/>
      <c r="M96" s="1"/>
      <c r="N96" s="1"/>
      <c r="O96" s="1"/>
      <c r="P96" s="10"/>
      <c r="Q96" s="10"/>
      <c r="R96" s="1"/>
      <c r="S96" s="1"/>
      <c r="T96" s="1"/>
      <c r="U96" s="1"/>
      <c r="V96" s="1"/>
      <c r="W96" s="10"/>
      <c r="X96" s="10"/>
      <c r="Y96" s="1"/>
      <c r="Z96" s="1"/>
      <c r="AA96" s="1"/>
      <c r="AB96" s="1"/>
      <c r="AC96" s="1"/>
      <c r="AD96" s="10"/>
      <c r="AE96" s="10"/>
      <c r="AF96" s="1"/>
      <c r="AG96" s="1"/>
      <c r="AH96" s="5"/>
      <c r="AK96" s="47"/>
      <c r="AL96" s="23"/>
      <c r="AM96" s="27"/>
    </row>
    <row r="97" spans="2:39" ht="15.75" thickBot="1" x14ac:dyDescent="0.25">
      <c r="B97" s="244"/>
      <c r="C97" s="244"/>
      <c r="D97" s="4"/>
      <c r="E97" s="1"/>
      <c r="F97" s="1"/>
      <c r="G97" s="1"/>
      <c r="H97" s="1"/>
      <c r="I97" s="10"/>
      <c r="J97" s="10"/>
      <c r="K97" s="1"/>
      <c r="L97" s="1"/>
      <c r="M97" s="1"/>
      <c r="N97" s="1"/>
      <c r="O97" s="1"/>
      <c r="P97" s="10"/>
      <c r="Q97" s="10"/>
      <c r="R97" s="1"/>
      <c r="S97" s="1"/>
      <c r="T97" s="1"/>
      <c r="U97" s="1"/>
      <c r="V97" s="1"/>
      <c r="W97" s="10"/>
      <c r="X97" s="10"/>
      <c r="Y97" s="1"/>
      <c r="Z97" s="1"/>
      <c r="AA97" s="1"/>
      <c r="AB97" s="1"/>
      <c r="AC97" s="1"/>
      <c r="AD97" s="10"/>
      <c r="AE97" s="10"/>
      <c r="AF97" s="1"/>
      <c r="AG97" s="1"/>
      <c r="AH97" s="5"/>
      <c r="AK97" s="47"/>
      <c r="AL97" s="26"/>
      <c r="AM97" s="29">
        <v>0</v>
      </c>
    </row>
    <row r="98" spans="2:39" ht="15.75" thickBot="1" x14ac:dyDescent="0.25">
      <c r="B98" s="244"/>
      <c r="C98" s="244"/>
      <c r="AK98" s="47"/>
      <c r="AL98" s="23"/>
      <c r="AM98" s="28"/>
    </row>
    <row r="99" spans="2:39" x14ac:dyDescent="0.2">
      <c r="B99" s="244"/>
      <c r="C99" s="244"/>
      <c r="D99" s="194">
        <v>46478</v>
      </c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6"/>
      <c r="AJ99" s="162" t="s">
        <v>62</v>
      </c>
      <c r="AK99" s="47">
        <f>SUM(AK93+2.5-AM97)</f>
        <v>29.5</v>
      </c>
      <c r="AL99" s="23"/>
      <c r="AM99" s="24"/>
    </row>
    <row r="100" spans="2:39" x14ac:dyDescent="0.2">
      <c r="B100" s="244"/>
      <c r="C100" s="244"/>
      <c r="D100" s="4">
        <v>1</v>
      </c>
      <c r="E100" s="1">
        <v>2</v>
      </c>
      <c r="F100" s="10">
        <v>3</v>
      </c>
      <c r="G100" s="10">
        <v>4</v>
      </c>
      <c r="H100" s="1">
        <v>5</v>
      </c>
      <c r="I100" s="1">
        <v>6</v>
      </c>
      <c r="J100" s="1">
        <v>7</v>
      </c>
      <c r="K100" s="1">
        <v>8</v>
      </c>
      <c r="L100" s="1">
        <v>9</v>
      </c>
      <c r="M100" s="10">
        <v>10</v>
      </c>
      <c r="N100" s="10">
        <v>11</v>
      </c>
      <c r="O100" s="1">
        <v>12</v>
      </c>
      <c r="P100" s="1">
        <v>13</v>
      </c>
      <c r="Q100" s="1">
        <v>14</v>
      </c>
      <c r="R100" s="1">
        <v>15</v>
      </c>
      <c r="S100" s="1">
        <v>16</v>
      </c>
      <c r="T100" s="10">
        <v>17</v>
      </c>
      <c r="U100" s="10">
        <v>18</v>
      </c>
      <c r="V100" s="1">
        <v>19</v>
      </c>
      <c r="W100" s="1">
        <v>20</v>
      </c>
      <c r="X100" s="1">
        <v>21</v>
      </c>
      <c r="Y100" s="1">
        <v>22</v>
      </c>
      <c r="Z100" s="1">
        <v>23</v>
      </c>
      <c r="AA100" s="10">
        <v>24</v>
      </c>
      <c r="AB100" s="10">
        <v>25</v>
      </c>
      <c r="AC100" s="1">
        <v>26</v>
      </c>
      <c r="AD100" s="1">
        <v>27</v>
      </c>
      <c r="AE100" s="1">
        <v>28</v>
      </c>
      <c r="AF100" s="1">
        <v>29</v>
      </c>
      <c r="AG100" s="1">
        <v>30</v>
      </c>
      <c r="AH100" s="5"/>
      <c r="AK100" s="47"/>
      <c r="AL100" s="23"/>
      <c r="AM100" s="24"/>
    </row>
    <row r="101" spans="2:39" ht="15.75" thickBot="1" x14ac:dyDescent="0.25">
      <c r="B101" s="244"/>
      <c r="C101" s="244"/>
      <c r="D101" s="274" t="s">
        <v>113</v>
      </c>
      <c r="E101" s="306"/>
      <c r="F101" s="306"/>
      <c r="G101" s="306"/>
      <c r="H101" s="306"/>
      <c r="I101" s="306"/>
      <c r="J101" s="306"/>
      <c r="K101" s="306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6"/>
      <c r="AH101" s="65"/>
      <c r="AK101" s="47"/>
      <c r="AL101" s="23"/>
      <c r="AM101" s="24"/>
    </row>
    <row r="102" spans="2:39" ht="15.75" thickBot="1" x14ac:dyDescent="0.25">
      <c r="B102" s="244"/>
      <c r="C102" s="244"/>
      <c r="D102" s="4"/>
      <c r="E102" s="1"/>
      <c r="F102" s="10"/>
      <c r="G102" s="10"/>
      <c r="H102" s="1"/>
      <c r="I102" s="1"/>
      <c r="J102" s="1"/>
      <c r="K102" s="1"/>
      <c r="L102" s="1"/>
      <c r="M102" s="10"/>
      <c r="N102" s="10"/>
      <c r="O102" s="1"/>
      <c r="P102" s="1"/>
      <c r="Q102" s="1"/>
      <c r="R102" s="1"/>
      <c r="S102" s="1"/>
      <c r="T102" s="10"/>
      <c r="U102" s="10"/>
      <c r="V102" s="1"/>
      <c r="W102" s="1"/>
      <c r="X102" s="1"/>
      <c r="Y102" s="1"/>
      <c r="Z102" s="1"/>
      <c r="AA102" s="10"/>
      <c r="AB102" s="10"/>
      <c r="AC102" s="1"/>
      <c r="AD102" s="1"/>
      <c r="AE102" s="1"/>
      <c r="AF102" s="1"/>
      <c r="AG102" s="1"/>
      <c r="AH102" s="5"/>
      <c r="AK102" s="47"/>
      <c r="AL102" s="23"/>
      <c r="AM102" s="27"/>
    </row>
    <row r="103" spans="2:39" ht="15.75" thickBot="1" x14ac:dyDescent="0.25">
      <c r="B103" s="244"/>
      <c r="C103" s="244"/>
      <c r="D103" s="4"/>
      <c r="E103" s="1"/>
      <c r="F103" s="10"/>
      <c r="G103" s="10"/>
      <c r="H103" s="1"/>
      <c r="I103" s="1"/>
      <c r="J103" s="1"/>
      <c r="K103" s="1"/>
      <c r="L103" s="1"/>
      <c r="M103" s="10"/>
      <c r="N103" s="10"/>
      <c r="O103" s="1"/>
      <c r="P103" s="1"/>
      <c r="Q103" s="1"/>
      <c r="R103" s="1"/>
      <c r="S103" s="1"/>
      <c r="T103" s="10"/>
      <c r="U103" s="10"/>
      <c r="V103" s="1"/>
      <c r="W103" s="1"/>
      <c r="X103" s="1"/>
      <c r="Y103" s="1"/>
      <c r="Z103" s="1"/>
      <c r="AA103" s="10"/>
      <c r="AB103" s="10"/>
      <c r="AC103" s="1"/>
      <c r="AD103" s="1"/>
      <c r="AE103" s="1"/>
      <c r="AF103" s="1"/>
      <c r="AG103" s="1"/>
      <c r="AH103" s="5"/>
      <c r="AK103" s="47"/>
      <c r="AL103" s="26"/>
      <c r="AM103" s="29">
        <v>0</v>
      </c>
    </row>
    <row r="104" spans="2:39" ht="15.75" thickBot="1" x14ac:dyDescent="0.25">
      <c r="B104" s="244"/>
      <c r="C104" s="244"/>
      <c r="AK104" s="47"/>
      <c r="AL104" s="23"/>
      <c r="AM104" s="28"/>
    </row>
    <row r="105" spans="2:39" x14ac:dyDescent="0.2">
      <c r="B105" s="244"/>
      <c r="C105" s="244"/>
      <c r="D105" s="194">
        <v>46508</v>
      </c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6"/>
      <c r="AJ105" s="162" t="s">
        <v>51</v>
      </c>
      <c r="AK105" s="47">
        <f>SUM(AK99+2.5-AM103)</f>
        <v>32</v>
      </c>
      <c r="AL105" s="23"/>
      <c r="AM105" s="24"/>
    </row>
    <row r="106" spans="2:39" x14ac:dyDescent="0.2">
      <c r="B106" s="244"/>
      <c r="C106" s="244"/>
      <c r="D106" s="12">
        <v>1</v>
      </c>
      <c r="E106" s="10">
        <v>2</v>
      </c>
      <c r="F106" s="1">
        <v>3</v>
      </c>
      <c r="G106" s="1">
        <v>4</v>
      </c>
      <c r="H106" s="1">
        <v>5</v>
      </c>
      <c r="I106" s="1">
        <v>6</v>
      </c>
      <c r="J106" s="1">
        <v>7</v>
      </c>
      <c r="K106" s="10">
        <v>8</v>
      </c>
      <c r="L106" s="10">
        <v>9</v>
      </c>
      <c r="M106" s="1">
        <v>10</v>
      </c>
      <c r="N106" s="1">
        <v>11</v>
      </c>
      <c r="O106" s="1">
        <v>12</v>
      </c>
      <c r="P106" s="1">
        <v>13</v>
      </c>
      <c r="Q106" s="1">
        <v>14</v>
      </c>
      <c r="R106" s="10">
        <v>15</v>
      </c>
      <c r="S106" s="10">
        <v>16</v>
      </c>
      <c r="T106" s="1">
        <v>17</v>
      </c>
      <c r="U106" s="1">
        <v>18</v>
      </c>
      <c r="V106" s="1">
        <v>19</v>
      </c>
      <c r="W106" s="1">
        <v>20</v>
      </c>
      <c r="X106" s="1">
        <v>21</v>
      </c>
      <c r="Y106" s="10">
        <v>22</v>
      </c>
      <c r="Z106" s="10">
        <v>23</v>
      </c>
      <c r="AA106" s="1">
        <v>24</v>
      </c>
      <c r="AB106" s="1">
        <v>25</v>
      </c>
      <c r="AC106" s="1">
        <v>26</v>
      </c>
      <c r="AD106" s="1">
        <v>27</v>
      </c>
      <c r="AE106" s="1">
        <v>28</v>
      </c>
      <c r="AF106" s="10">
        <v>29</v>
      </c>
      <c r="AG106" s="10">
        <v>30</v>
      </c>
      <c r="AH106" s="5">
        <v>31</v>
      </c>
      <c r="AK106" s="47"/>
      <c r="AL106" s="23"/>
      <c r="AM106" s="24"/>
    </row>
    <row r="107" spans="2:39" ht="15.75" thickBot="1" x14ac:dyDescent="0.25">
      <c r="B107" s="244"/>
      <c r="C107" s="244"/>
      <c r="D107" s="274" t="s">
        <v>123</v>
      </c>
      <c r="E107" s="306"/>
      <c r="F107" s="364"/>
      <c r="G107" s="277"/>
      <c r="H107" s="278"/>
      <c r="I107" s="278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278"/>
      <c r="AH107" s="279"/>
      <c r="AK107" s="47"/>
      <c r="AL107" s="23"/>
      <c r="AM107" s="24"/>
    </row>
    <row r="108" spans="2:39" ht="15.75" thickBot="1" x14ac:dyDescent="0.25">
      <c r="B108" s="244"/>
      <c r="C108" s="244"/>
      <c r="D108" s="12"/>
      <c r="E108" s="10"/>
      <c r="F108" s="1"/>
      <c r="G108" s="1"/>
      <c r="H108" s="1"/>
      <c r="I108" s="1"/>
      <c r="J108" s="1"/>
      <c r="K108" s="10"/>
      <c r="L108" s="10"/>
      <c r="M108" s="1"/>
      <c r="N108" s="1"/>
      <c r="O108" s="1"/>
      <c r="P108" s="1"/>
      <c r="Q108" s="1"/>
      <c r="R108" s="10"/>
      <c r="S108" s="10"/>
      <c r="T108" s="1"/>
      <c r="U108" s="1"/>
      <c r="V108" s="1"/>
      <c r="W108" s="1"/>
      <c r="X108" s="1"/>
      <c r="Y108" s="10"/>
      <c r="Z108" s="10"/>
      <c r="AA108" s="1"/>
      <c r="AB108" s="1"/>
      <c r="AC108" s="1"/>
      <c r="AD108" s="1"/>
      <c r="AE108" s="1"/>
      <c r="AF108" s="10"/>
      <c r="AG108" s="10"/>
      <c r="AH108" s="5"/>
      <c r="AK108" s="47"/>
      <c r="AL108" s="23"/>
      <c r="AM108" s="27"/>
    </row>
    <row r="109" spans="2:39" ht="15.75" thickBot="1" x14ac:dyDescent="0.25">
      <c r="B109" s="244"/>
      <c r="C109" s="244"/>
      <c r="D109" s="12"/>
      <c r="E109" s="10"/>
      <c r="F109" s="1"/>
      <c r="G109" s="1"/>
      <c r="H109" s="1"/>
      <c r="I109" s="1"/>
      <c r="J109" s="1"/>
      <c r="K109" s="10"/>
      <c r="L109" s="10"/>
      <c r="M109" s="1"/>
      <c r="N109" s="1"/>
      <c r="O109" s="1"/>
      <c r="P109" s="1"/>
      <c r="Q109" s="1"/>
      <c r="R109" s="10"/>
      <c r="S109" s="10"/>
      <c r="T109" s="1"/>
      <c r="U109" s="1"/>
      <c r="V109" s="1"/>
      <c r="W109" s="1"/>
      <c r="X109" s="1"/>
      <c r="Y109" s="10"/>
      <c r="Z109" s="10"/>
      <c r="AA109" s="1"/>
      <c r="AB109" s="1"/>
      <c r="AC109" s="1"/>
      <c r="AD109" s="1"/>
      <c r="AE109" s="1"/>
      <c r="AF109" s="10"/>
      <c r="AG109" s="10"/>
      <c r="AH109" s="5"/>
      <c r="AK109" s="47"/>
      <c r="AL109" s="26"/>
      <c r="AM109" s="29">
        <v>28</v>
      </c>
    </row>
    <row r="110" spans="2:39" ht="15.75" thickBot="1" x14ac:dyDescent="0.25">
      <c r="B110" s="244"/>
      <c r="C110" s="244"/>
      <c r="AK110" s="47"/>
      <c r="AL110" s="23"/>
      <c r="AM110" s="28"/>
    </row>
    <row r="111" spans="2:39" x14ac:dyDescent="0.2">
      <c r="B111" s="244"/>
      <c r="C111" s="244"/>
      <c r="D111" s="194">
        <v>46539</v>
      </c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6"/>
      <c r="AJ111" s="162" t="s">
        <v>52</v>
      </c>
      <c r="AK111" s="47">
        <f>SUM(AK105-AM109)</f>
        <v>4</v>
      </c>
      <c r="AL111" s="23"/>
      <c r="AM111" s="24"/>
    </row>
    <row r="112" spans="2:39" x14ac:dyDescent="0.2">
      <c r="B112" s="244"/>
      <c r="C112" s="244"/>
      <c r="D112" s="4">
        <v>1</v>
      </c>
      <c r="E112" s="1">
        <v>2</v>
      </c>
      <c r="F112" s="1">
        <v>3</v>
      </c>
      <c r="G112" s="1">
        <v>4</v>
      </c>
      <c r="H112" s="10">
        <v>5</v>
      </c>
      <c r="I112" s="10">
        <v>6</v>
      </c>
      <c r="J112" s="1">
        <v>7</v>
      </c>
      <c r="K112" s="1">
        <v>8</v>
      </c>
      <c r="L112" s="1">
        <v>9</v>
      </c>
      <c r="M112" s="1">
        <v>10</v>
      </c>
      <c r="N112" s="1">
        <v>11</v>
      </c>
      <c r="O112" s="10">
        <v>12</v>
      </c>
      <c r="P112" s="10">
        <v>13</v>
      </c>
      <c r="Q112" s="1">
        <v>14</v>
      </c>
      <c r="R112" s="1">
        <v>15</v>
      </c>
      <c r="S112" s="1">
        <v>16</v>
      </c>
      <c r="T112" s="1">
        <v>17</v>
      </c>
      <c r="U112" s="1">
        <v>18</v>
      </c>
      <c r="V112" s="10">
        <v>19</v>
      </c>
      <c r="W112" s="10">
        <v>20</v>
      </c>
      <c r="X112" s="1">
        <v>21</v>
      </c>
      <c r="Y112" s="1">
        <v>22</v>
      </c>
      <c r="Z112" s="1">
        <v>23</v>
      </c>
      <c r="AA112" s="1">
        <v>24</v>
      </c>
      <c r="AB112" s="1">
        <v>25</v>
      </c>
      <c r="AC112" s="10">
        <v>26</v>
      </c>
      <c r="AD112" s="10">
        <v>27</v>
      </c>
      <c r="AE112" s="1">
        <v>28</v>
      </c>
      <c r="AF112" s="1">
        <v>29</v>
      </c>
      <c r="AG112" s="1">
        <v>30</v>
      </c>
      <c r="AH112" s="5"/>
      <c r="AK112" s="47"/>
      <c r="AL112" s="23"/>
      <c r="AM112" s="24"/>
    </row>
    <row r="113" spans="2:39" x14ac:dyDescent="0.2">
      <c r="B113" s="244"/>
      <c r="C113" s="244"/>
      <c r="D113" s="51" t="s">
        <v>30</v>
      </c>
      <c r="E113" s="1"/>
      <c r="F113" s="1"/>
      <c r="G113" s="1"/>
      <c r="H113" s="10"/>
      <c r="I113" s="10"/>
      <c r="J113" s="1"/>
      <c r="K113" s="1"/>
      <c r="L113" s="1"/>
      <c r="M113" s="1"/>
      <c r="N113" s="1"/>
      <c r="O113" s="10"/>
      <c r="P113" s="10"/>
      <c r="Q113" s="1"/>
      <c r="R113" s="1"/>
      <c r="S113" s="1"/>
      <c r="T113" s="1"/>
      <c r="U113" s="1"/>
      <c r="V113" s="10"/>
      <c r="W113" s="10"/>
      <c r="X113" s="1"/>
      <c r="Y113" s="1"/>
      <c r="Z113" s="1"/>
      <c r="AA113" s="1"/>
      <c r="AB113" s="1"/>
      <c r="AC113" s="10"/>
      <c r="AD113" s="10"/>
      <c r="AE113" s="1"/>
      <c r="AF113" s="1"/>
      <c r="AG113" s="1"/>
      <c r="AH113" s="5"/>
      <c r="AK113" s="47"/>
      <c r="AL113" s="23"/>
      <c r="AM113" s="24"/>
    </row>
    <row r="114" spans="2:39" ht="15.75" thickBot="1" x14ac:dyDescent="0.25">
      <c r="B114" s="244"/>
      <c r="C114" s="244"/>
      <c r="D114" s="51"/>
      <c r="E114" s="1"/>
      <c r="F114" s="1"/>
      <c r="G114" s="1"/>
      <c r="H114" s="10"/>
      <c r="I114" s="10"/>
      <c r="J114" s="1"/>
      <c r="K114" s="1"/>
      <c r="L114" s="1"/>
      <c r="M114" s="1"/>
      <c r="N114" s="1"/>
      <c r="O114" s="10"/>
      <c r="P114" s="10"/>
      <c r="Q114" s="1"/>
      <c r="R114" s="1"/>
      <c r="S114" s="1"/>
      <c r="T114" s="1"/>
      <c r="U114" s="1"/>
      <c r="V114" s="10"/>
      <c r="W114" s="10"/>
      <c r="X114" s="1"/>
      <c r="Y114" s="1"/>
      <c r="Z114" s="1"/>
      <c r="AA114" s="1"/>
      <c r="AB114" s="1"/>
      <c r="AC114" s="10"/>
      <c r="AD114" s="10"/>
      <c r="AE114" s="1"/>
      <c r="AF114" s="1"/>
      <c r="AG114" s="1"/>
      <c r="AH114" s="5"/>
      <c r="AK114" s="47"/>
      <c r="AL114" s="23"/>
      <c r="AM114" s="27"/>
    </row>
    <row r="115" spans="2:39" ht="15.75" thickBot="1" x14ac:dyDescent="0.25">
      <c r="B115" s="244"/>
      <c r="C115" s="244"/>
      <c r="D115" s="51"/>
      <c r="E115" s="1"/>
      <c r="F115" s="1"/>
      <c r="G115" s="1"/>
      <c r="H115" s="10"/>
      <c r="I115" s="10"/>
      <c r="J115" s="1"/>
      <c r="K115" s="1"/>
      <c r="L115" s="1"/>
      <c r="M115" s="1"/>
      <c r="N115" s="1"/>
      <c r="O115" s="10"/>
      <c r="P115" s="10"/>
      <c r="Q115" s="1"/>
      <c r="R115" s="1"/>
      <c r="S115" s="1"/>
      <c r="T115" s="1"/>
      <c r="U115" s="1"/>
      <c r="V115" s="10"/>
      <c r="W115" s="10"/>
      <c r="X115" s="1"/>
      <c r="Y115" s="1"/>
      <c r="Z115" s="1"/>
      <c r="AA115" s="1"/>
      <c r="AB115" s="1"/>
      <c r="AC115" s="10"/>
      <c r="AD115" s="10"/>
      <c r="AE115" s="1"/>
      <c r="AF115" s="1"/>
      <c r="AG115" s="1"/>
      <c r="AH115" s="5"/>
      <c r="AK115" s="48"/>
      <c r="AL115" s="26"/>
      <c r="AM115" s="29">
        <v>0</v>
      </c>
    </row>
    <row r="116" spans="2:39" ht="35.25" thickBot="1" x14ac:dyDescent="0.55000000000000004">
      <c r="AI116" s="55"/>
      <c r="AJ116" s="55"/>
      <c r="AK116" s="54" t="s">
        <v>11</v>
      </c>
      <c r="AL116" s="148"/>
      <c r="AM116" s="28"/>
    </row>
    <row r="117" spans="2:39" ht="35.25" thickBot="1" x14ac:dyDescent="0.55000000000000004">
      <c r="D117" s="194">
        <v>46569</v>
      </c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6"/>
      <c r="AI117" s="55"/>
      <c r="AJ117" s="55" t="s">
        <v>53</v>
      </c>
      <c r="AK117" s="53">
        <f>SUM(AK111-AM115)</f>
        <v>4</v>
      </c>
      <c r="AL117" s="148"/>
      <c r="AM117" s="24"/>
    </row>
    <row r="118" spans="2:39" x14ac:dyDescent="0.2">
      <c r="D118" s="16">
        <v>1</v>
      </c>
      <c r="E118" s="1">
        <v>2</v>
      </c>
      <c r="F118" s="10">
        <v>3</v>
      </c>
      <c r="G118" s="10">
        <v>4</v>
      </c>
      <c r="H118" s="1">
        <v>5</v>
      </c>
      <c r="I118" s="1">
        <v>6</v>
      </c>
      <c r="J118" s="1">
        <v>7</v>
      </c>
      <c r="K118" s="1">
        <v>8</v>
      </c>
      <c r="L118" s="1">
        <v>9</v>
      </c>
      <c r="M118" s="10">
        <v>10</v>
      </c>
      <c r="N118" s="10">
        <v>11</v>
      </c>
      <c r="O118" s="1">
        <v>12</v>
      </c>
      <c r="P118" s="1">
        <v>13</v>
      </c>
      <c r="Q118" s="1">
        <v>14</v>
      </c>
      <c r="R118" s="1">
        <v>15</v>
      </c>
      <c r="S118" s="1">
        <v>16</v>
      </c>
      <c r="T118" s="10">
        <v>17</v>
      </c>
      <c r="U118" s="10">
        <v>18</v>
      </c>
      <c r="V118" s="1">
        <v>19</v>
      </c>
      <c r="W118" s="1">
        <v>20</v>
      </c>
      <c r="X118" s="1">
        <v>21</v>
      </c>
      <c r="Y118" s="1">
        <v>22</v>
      </c>
      <c r="Z118" s="1">
        <v>23</v>
      </c>
      <c r="AA118" s="10">
        <v>24</v>
      </c>
      <c r="AB118" s="10">
        <v>25</v>
      </c>
      <c r="AC118" s="1">
        <v>26</v>
      </c>
      <c r="AD118" s="1">
        <v>27</v>
      </c>
      <c r="AE118" s="1">
        <v>28</v>
      </c>
      <c r="AF118" s="1">
        <v>29</v>
      </c>
      <c r="AG118" s="1">
        <v>30</v>
      </c>
      <c r="AH118" s="14">
        <v>31</v>
      </c>
      <c r="AK118" s="49"/>
      <c r="AL118" s="23"/>
      <c r="AM118" s="24"/>
    </row>
    <row r="119" spans="2:39" x14ac:dyDescent="0.2">
      <c r="D119" s="20" t="s">
        <v>1</v>
      </c>
      <c r="E119" s="1"/>
      <c r="F119" s="10"/>
      <c r="G119" s="10"/>
      <c r="H119" s="1"/>
      <c r="I119" s="1"/>
      <c r="J119" s="1"/>
      <c r="K119" s="1"/>
      <c r="L119" s="1"/>
      <c r="M119" s="10"/>
      <c r="N119" s="10"/>
      <c r="O119" s="1"/>
      <c r="P119" s="1"/>
      <c r="Q119" s="1"/>
      <c r="R119" s="1"/>
      <c r="S119" s="1"/>
      <c r="T119" s="10"/>
      <c r="U119" s="10"/>
      <c r="V119" s="1"/>
      <c r="W119" s="1"/>
      <c r="X119" s="1"/>
      <c r="Y119" s="1"/>
      <c r="Z119" s="1"/>
      <c r="AA119" s="10"/>
      <c r="AB119" s="10"/>
      <c r="AC119" s="1"/>
      <c r="AD119" s="1"/>
      <c r="AE119" s="1"/>
      <c r="AF119" s="1"/>
      <c r="AG119" s="1"/>
      <c r="AH119" s="14"/>
      <c r="AK119" s="47"/>
      <c r="AL119" s="23"/>
      <c r="AM119" s="24"/>
    </row>
    <row r="120" spans="2:39" x14ac:dyDescent="0.2">
      <c r="D120" s="16"/>
      <c r="E120" s="1"/>
      <c r="F120" s="10"/>
      <c r="G120" s="10"/>
      <c r="H120" s="1"/>
      <c r="I120" s="1"/>
      <c r="J120" s="1"/>
      <c r="K120" s="1"/>
      <c r="L120" s="1"/>
      <c r="M120" s="10"/>
      <c r="N120" s="10"/>
      <c r="O120" s="1"/>
      <c r="P120" s="1"/>
      <c r="Q120" s="1"/>
      <c r="R120" s="1"/>
      <c r="S120" s="1"/>
      <c r="T120" s="10"/>
      <c r="U120" s="10"/>
      <c r="V120" s="1"/>
      <c r="W120" s="1"/>
      <c r="X120" s="1"/>
      <c r="Y120" s="1"/>
      <c r="Z120" s="1"/>
      <c r="AA120" s="10"/>
      <c r="AB120" s="10"/>
      <c r="AC120" s="1"/>
      <c r="AD120" s="1"/>
      <c r="AE120" s="1"/>
      <c r="AF120" s="1"/>
      <c r="AG120" s="1"/>
      <c r="AH120" s="14"/>
      <c r="AK120" s="47"/>
      <c r="AL120" s="23"/>
      <c r="AM120" s="24"/>
    </row>
    <row r="121" spans="2:39" ht="15.75" thickBot="1" x14ac:dyDescent="0.25">
      <c r="D121" s="17"/>
      <c r="E121" s="7"/>
      <c r="F121" s="11"/>
      <c r="G121" s="11"/>
      <c r="H121" s="7"/>
      <c r="I121" s="7"/>
      <c r="J121" s="7"/>
      <c r="K121" s="7"/>
      <c r="L121" s="7"/>
      <c r="M121" s="11"/>
      <c r="N121" s="11"/>
      <c r="O121" s="7"/>
      <c r="P121" s="7"/>
      <c r="Q121" s="7"/>
      <c r="R121" s="7"/>
      <c r="S121" s="7"/>
      <c r="T121" s="11"/>
      <c r="U121" s="11"/>
      <c r="V121" s="7"/>
      <c r="W121" s="7"/>
      <c r="X121" s="7"/>
      <c r="Y121" s="7"/>
      <c r="Z121" s="7"/>
      <c r="AA121" s="11"/>
      <c r="AB121" s="11"/>
      <c r="AC121" s="7"/>
      <c r="AD121" s="7"/>
      <c r="AE121" s="7"/>
      <c r="AF121" s="7"/>
      <c r="AG121" s="7"/>
      <c r="AH121" s="15"/>
      <c r="AK121" s="47"/>
      <c r="AL121" s="23"/>
      <c r="AM121" s="24"/>
    </row>
    <row r="124" spans="2:39" x14ac:dyDescent="0.2">
      <c r="AC124">
        <v>21</v>
      </c>
    </row>
    <row r="125" spans="2:39" x14ac:dyDescent="0.2">
      <c r="AC125">
        <v>28</v>
      </c>
    </row>
    <row r="126" spans="2:39" x14ac:dyDescent="0.2">
      <c r="AC126">
        <v>31</v>
      </c>
    </row>
    <row r="127" spans="2:39" x14ac:dyDescent="0.2">
      <c r="AC127">
        <v>19</v>
      </c>
    </row>
    <row r="128" spans="2:39" x14ac:dyDescent="0.2">
      <c r="AC128">
        <f>SUM(AC124:AC127)</f>
        <v>99</v>
      </c>
    </row>
    <row r="132" spans="4:4" x14ac:dyDescent="0.2">
      <c r="D132" t="s">
        <v>20</v>
      </c>
    </row>
    <row r="133" spans="4:4" x14ac:dyDescent="0.2">
      <c r="D133" t="s">
        <v>21</v>
      </c>
    </row>
    <row r="134" spans="4:4" x14ac:dyDescent="0.2">
      <c r="D134" t="s">
        <v>22</v>
      </c>
    </row>
    <row r="135" spans="4:4" x14ac:dyDescent="0.2">
      <c r="D135" t="s">
        <v>23</v>
      </c>
    </row>
    <row r="136" spans="4:4" x14ac:dyDescent="0.2">
      <c r="D136" t="s">
        <v>24</v>
      </c>
    </row>
    <row r="137" spans="4:4" x14ac:dyDescent="0.2">
      <c r="D137" t="s">
        <v>25</v>
      </c>
    </row>
    <row r="138" spans="4:4" x14ac:dyDescent="0.2">
      <c r="D138" t="s">
        <v>26</v>
      </c>
    </row>
    <row r="139" spans="4:4" x14ac:dyDescent="0.2">
      <c r="D139" t="s">
        <v>27</v>
      </c>
    </row>
    <row r="140" spans="4:4" x14ac:dyDescent="0.2">
      <c r="D140" s="86" t="s">
        <v>28</v>
      </c>
    </row>
  </sheetData>
  <mergeCells count="78">
    <mergeCell ref="D99:AH99"/>
    <mergeCell ref="D105:AH105"/>
    <mergeCell ref="D111:AH111"/>
    <mergeCell ref="D117:AH117"/>
    <mergeCell ref="D101:AG101"/>
    <mergeCell ref="D107:F107"/>
    <mergeCell ref="G107:AH107"/>
    <mergeCell ref="D81:AH81"/>
    <mergeCell ref="D87:AH87"/>
    <mergeCell ref="D89:AE89"/>
    <mergeCell ref="D93:AH93"/>
    <mergeCell ref="D95:AH95"/>
    <mergeCell ref="D83:F83"/>
    <mergeCell ref="G83:AH83"/>
    <mergeCell ref="AC73:AD73"/>
    <mergeCell ref="D75:AH75"/>
    <mergeCell ref="J78:L78"/>
    <mergeCell ref="M78:N78"/>
    <mergeCell ref="X78:AH78"/>
    <mergeCell ref="H77:AH77"/>
    <mergeCell ref="D77:G77"/>
    <mergeCell ref="D69:AH69"/>
    <mergeCell ref="J71:AG71"/>
    <mergeCell ref="O72:P72"/>
    <mergeCell ref="S72:U72"/>
    <mergeCell ref="V72:W72"/>
    <mergeCell ref="Z72:AD72"/>
    <mergeCell ref="D71:I71"/>
    <mergeCell ref="T65:AH65"/>
    <mergeCell ref="H66:I66"/>
    <mergeCell ref="V66:X66"/>
    <mergeCell ref="Y66:Z66"/>
    <mergeCell ref="D65:S65"/>
    <mergeCell ref="Q60:S60"/>
    <mergeCell ref="T60:U60"/>
    <mergeCell ref="D59:AG59"/>
    <mergeCell ref="D63:AH63"/>
    <mergeCell ref="BL64:CP64"/>
    <mergeCell ref="M53:X53"/>
    <mergeCell ref="D53:E53"/>
    <mergeCell ref="F53:J53"/>
    <mergeCell ref="L55:R55"/>
    <mergeCell ref="D57:AH57"/>
    <mergeCell ref="D33:AH33"/>
    <mergeCell ref="E35:AH35"/>
    <mergeCell ref="D39:AH39"/>
    <mergeCell ref="D41:AG41"/>
    <mergeCell ref="B45:C115"/>
    <mergeCell ref="D45:AH45"/>
    <mergeCell ref="D47:AH47"/>
    <mergeCell ref="P48:R48"/>
    <mergeCell ref="S48:T48"/>
    <mergeCell ref="W48:X48"/>
    <mergeCell ref="AG48:AH48"/>
    <mergeCell ref="D51:AH51"/>
    <mergeCell ref="P54:Q54"/>
    <mergeCell ref="T54:V54"/>
    <mergeCell ref="W54:X54"/>
    <mergeCell ref="AA53:AH53"/>
    <mergeCell ref="D29:F29"/>
    <mergeCell ref="G29:AF29"/>
    <mergeCell ref="D15:AH15"/>
    <mergeCell ref="E17:M17"/>
    <mergeCell ref="N17:AE17"/>
    <mergeCell ref="Y18:AE18"/>
    <mergeCell ref="D21:AH21"/>
    <mergeCell ref="D23:AH23"/>
    <mergeCell ref="D24:K24"/>
    <mergeCell ref="L24:W24"/>
    <mergeCell ref="Z24:AB24"/>
    <mergeCell ref="AC24:AE24"/>
    <mergeCell ref="D27:AH27"/>
    <mergeCell ref="P13:R13"/>
    <mergeCell ref="D1:AH1"/>
    <mergeCell ref="D4:AH4"/>
    <mergeCell ref="D8:AH8"/>
    <mergeCell ref="D11:AA11"/>
    <mergeCell ref="AB11:AH11"/>
  </mergeCells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EAB3-5141-0743-97DF-7E136A4959C8}">
  <sheetPr>
    <pageSetUpPr fitToPage="1"/>
  </sheetPr>
  <dimension ref="A1:CP140"/>
  <sheetViews>
    <sheetView topLeftCell="A32" zoomScale="80" zoomScaleNormal="80" workbookViewId="0">
      <selection activeCell="AM104" sqref="AM104"/>
    </sheetView>
  </sheetViews>
  <sheetFormatPr defaultRowHeight="15" x14ac:dyDescent="0.2"/>
  <cols>
    <col min="20" max="20" width="10.625" customWidth="1"/>
    <col min="35" max="35" width="15.19921875" style="164" customWidth="1"/>
    <col min="36" max="36" width="15.46875" style="164" customWidth="1"/>
    <col min="37" max="37" width="13.5859375" style="50" bestFit="1" customWidth="1"/>
    <col min="38" max="38" width="8.609375" style="164"/>
    <col min="39" max="39" width="8.609375" style="25"/>
  </cols>
  <sheetData>
    <row r="1" spans="4:39" x14ac:dyDescent="0.2">
      <c r="D1" s="194">
        <v>45992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6"/>
      <c r="AK1" s="47">
        <v>68</v>
      </c>
      <c r="AL1" s="23"/>
      <c r="AM1" s="24"/>
    </row>
    <row r="2" spans="4:39" x14ac:dyDescent="0.2">
      <c r="D2" s="111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3"/>
      <c r="AK2" s="47"/>
      <c r="AL2" s="23"/>
      <c r="AM2" s="24"/>
    </row>
    <row r="3" spans="4:39" x14ac:dyDescent="0.2">
      <c r="D3" s="30">
        <v>1</v>
      </c>
      <c r="E3" s="31">
        <v>2</v>
      </c>
      <c r="F3" s="31">
        <v>3</v>
      </c>
      <c r="G3" s="31">
        <v>4</v>
      </c>
      <c r="H3" s="31">
        <v>5</v>
      </c>
      <c r="I3" s="10">
        <v>6</v>
      </c>
      <c r="J3" s="10">
        <v>7</v>
      </c>
      <c r="K3" s="31">
        <v>8</v>
      </c>
      <c r="L3" s="31">
        <v>9</v>
      </c>
      <c r="M3" s="31">
        <v>10</v>
      </c>
      <c r="N3" s="31">
        <v>11</v>
      </c>
      <c r="O3" s="31">
        <v>12</v>
      </c>
      <c r="P3" s="10">
        <v>13</v>
      </c>
      <c r="Q3" s="10">
        <v>14</v>
      </c>
      <c r="R3" s="31">
        <v>15</v>
      </c>
      <c r="S3" s="31">
        <v>16</v>
      </c>
      <c r="T3" s="31">
        <v>17</v>
      </c>
      <c r="U3" s="31">
        <v>18</v>
      </c>
      <c r="V3" s="31">
        <v>19</v>
      </c>
      <c r="W3" s="10">
        <v>20</v>
      </c>
      <c r="X3" s="10">
        <v>21</v>
      </c>
      <c r="Y3" s="31">
        <v>22</v>
      </c>
      <c r="Z3" s="31">
        <v>23</v>
      </c>
      <c r="AA3" s="31">
        <v>24</v>
      </c>
      <c r="AB3" s="31">
        <v>25</v>
      </c>
      <c r="AC3" s="31">
        <v>26</v>
      </c>
      <c r="AD3" s="10">
        <v>27</v>
      </c>
      <c r="AE3" s="10">
        <v>28</v>
      </c>
      <c r="AF3" s="31">
        <v>29</v>
      </c>
      <c r="AG3" s="31">
        <v>30</v>
      </c>
      <c r="AH3" s="34">
        <v>31</v>
      </c>
      <c r="AK3" s="47"/>
      <c r="AL3" s="23"/>
      <c r="AM3" s="24"/>
    </row>
    <row r="4" spans="4:39" x14ac:dyDescent="0.2">
      <c r="D4" s="223" t="s">
        <v>5</v>
      </c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5"/>
      <c r="AK4" s="47"/>
      <c r="AL4" s="23"/>
      <c r="AM4" s="24"/>
    </row>
    <row r="5" spans="4:39" ht="15.75" thickBot="1" x14ac:dyDescent="0.25">
      <c r="D5" s="30"/>
      <c r="E5" s="31"/>
      <c r="F5" s="31"/>
      <c r="G5" s="31"/>
      <c r="H5" s="31"/>
      <c r="I5" s="10"/>
      <c r="J5" s="10"/>
      <c r="K5" s="31"/>
      <c r="L5" s="31"/>
      <c r="M5" s="31"/>
      <c r="N5" s="31"/>
      <c r="O5" s="31"/>
      <c r="P5" s="10"/>
      <c r="Q5" s="10"/>
      <c r="R5" s="31"/>
      <c r="S5" s="31"/>
      <c r="T5" s="31"/>
      <c r="U5" s="31"/>
      <c r="V5" s="31"/>
      <c r="W5" s="10"/>
      <c r="X5" s="10"/>
      <c r="Y5" s="31"/>
      <c r="Z5" s="31"/>
      <c r="AA5" s="31"/>
      <c r="AB5" s="31"/>
      <c r="AC5" s="31"/>
      <c r="AD5" s="10"/>
      <c r="AE5" s="10"/>
      <c r="AF5" s="31"/>
      <c r="AG5" s="31"/>
      <c r="AH5" s="34"/>
      <c r="AK5" s="47"/>
      <c r="AL5" s="23"/>
      <c r="AM5" s="24"/>
    </row>
    <row r="6" spans="4:39" ht="15.75" thickBot="1" x14ac:dyDescent="0.25">
      <c r="D6" s="32"/>
      <c r="E6" s="33"/>
      <c r="F6" s="33"/>
      <c r="G6" s="33"/>
      <c r="H6" s="33"/>
      <c r="I6" s="11"/>
      <c r="J6" s="11"/>
      <c r="K6" s="33"/>
      <c r="L6" s="33"/>
      <c r="M6" s="33"/>
      <c r="N6" s="33"/>
      <c r="O6" s="33"/>
      <c r="P6" s="11"/>
      <c r="Q6" s="11"/>
      <c r="R6" s="33"/>
      <c r="S6" s="33"/>
      <c r="T6" s="33"/>
      <c r="U6" s="33"/>
      <c r="V6" s="33"/>
      <c r="W6" s="11"/>
      <c r="X6" s="11"/>
      <c r="Y6" s="33"/>
      <c r="Z6" s="33"/>
      <c r="AA6" s="33"/>
      <c r="AB6" s="33"/>
      <c r="AC6" s="33"/>
      <c r="AD6" s="11"/>
      <c r="AE6" s="11"/>
      <c r="AF6" s="33"/>
      <c r="AG6" s="33"/>
      <c r="AH6" s="35"/>
      <c r="AK6" s="47"/>
      <c r="AL6" s="23"/>
      <c r="AM6" s="29">
        <v>0</v>
      </c>
    </row>
    <row r="7" spans="4:39" ht="15.75" thickBot="1" x14ac:dyDescent="0.25">
      <c r="AK7" s="47"/>
      <c r="AL7" s="23"/>
      <c r="AM7" s="24"/>
    </row>
    <row r="8" spans="4:39" x14ac:dyDescent="0.2">
      <c r="D8" s="194">
        <v>46023</v>
      </c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6"/>
      <c r="AK8" s="47">
        <f>SUM(AK1+2.5-AM6)</f>
        <v>70.5</v>
      </c>
      <c r="AL8" s="23"/>
      <c r="AM8" s="24"/>
    </row>
    <row r="9" spans="4:39" x14ac:dyDescent="0.2">
      <c r="D9" s="111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3"/>
      <c r="AK9" s="47"/>
      <c r="AL9" s="23"/>
      <c r="AM9" s="24"/>
    </row>
    <row r="10" spans="4:39" x14ac:dyDescent="0.2">
      <c r="D10" s="30">
        <v>1</v>
      </c>
      <c r="E10" s="31">
        <v>2</v>
      </c>
      <c r="F10" s="38">
        <v>3</v>
      </c>
      <c r="G10" s="38">
        <v>4</v>
      </c>
      <c r="H10" s="31">
        <v>5</v>
      </c>
      <c r="I10" s="31">
        <v>6</v>
      </c>
      <c r="J10" s="31">
        <v>7</v>
      </c>
      <c r="K10" s="31">
        <v>8</v>
      </c>
      <c r="L10" s="31">
        <v>9</v>
      </c>
      <c r="M10" s="38">
        <v>10</v>
      </c>
      <c r="N10" s="38">
        <v>11</v>
      </c>
      <c r="O10" s="31">
        <v>12</v>
      </c>
      <c r="P10" s="31">
        <v>13</v>
      </c>
      <c r="Q10" s="31">
        <v>14</v>
      </c>
      <c r="R10" s="31">
        <v>15</v>
      </c>
      <c r="S10" s="31">
        <v>16</v>
      </c>
      <c r="T10" s="38">
        <v>17</v>
      </c>
      <c r="U10" s="38">
        <v>18</v>
      </c>
      <c r="V10" s="31">
        <v>19</v>
      </c>
      <c r="W10" s="31">
        <v>20</v>
      </c>
      <c r="X10" s="31">
        <v>21</v>
      </c>
      <c r="Y10" s="31">
        <v>22</v>
      </c>
      <c r="Z10" s="31">
        <v>23</v>
      </c>
      <c r="AA10" s="38">
        <v>24</v>
      </c>
      <c r="AB10" s="38">
        <v>25</v>
      </c>
      <c r="AC10" s="31">
        <v>26</v>
      </c>
      <c r="AD10" s="31">
        <v>27</v>
      </c>
      <c r="AE10" s="31">
        <v>28</v>
      </c>
      <c r="AF10" s="31">
        <v>29</v>
      </c>
      <c r="AG10" s="31">
        <v>30</v>
      </c>
      <c r="AH10" s="40">
        <v>31</v>
      </c>
      <c r="AK10" s="47"/>
      <c r="AL10" s="23"/>
      <c r="AM10" s="24"/>
    </row>
    <row r="11" spans="4:39" x14ac:dyDescent="0.2">
      <c r="D11" s="223" t="s">
        <v>5</v>
      </c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6"/>
      <c r="AB11" s="227" t="s">
        <v>37</v>
      </c>
      <c r="AC11" s="228"/>
      <c r="AD11" s="228"/>
      <c r="AE11" s="228"/>
      <c r="AF11" s="228"/>
      <c r="AG11" s="228"/>
      <c r="AH11" s="229"/>
      <c r="AK11" s="47"/>
      <c r="AL11" s="23"/>
      <c r="AM11" s="24"/>
    </row>
    <row r="12" spans="4:39" ht="15.75" thickBot="1" x14ac:dyDescent="0.25">
      <c r="D12" s="30"/>
      <c r="E12" s="31"/>
      <c r="F12" s="38"/>
      <c r="G12" s="38"/>
      <c r="H12" s="31"/>
      <c r="I12" s="31"/>
      <c r="J12" s="31"/>
      <c r="K12" s="31"/>
      <c r="L12" s="31"/>
      <c r="M12" s="38"/>
      <c r="N12" s="38"/>
      <c r="O12" s="31"/>
      <c r="P12" s="31"/>
      <c r="Q12" s="31"/>
      <c r="R12" s="31"/>
      <c r="S12" s="31"/>
      <c r="T12" s="38"/>
      <c r="U12" s="38"/>
      <c r="V12" s="31"/>
      <c r="W12" s="31"/>
      <c r="X12" s="31"/>
      <c r="Y12" s="31"/>
      <c r="Z12" s="33"/>
      <c r="AA12" s="39"/>
      <c r="AB12" s="39"/>
      <c r="AC12" s="33"/>
      <c r="AD12" s="33"/>
      <c r="AE12" s="33"/>
      <c r="AF12" s="33"/>
      <c r="AG12" s="33"/>
      <c r="AH12" s="41"/>
      <c r="AK12" s="47"/>
      <c r="AL12" s="23"/>
      <c r="AM12" s="24"/>
    </row>
    <row r="13" spans="4:39" ht="15.75" thickBot="1" x14ac:dyDescent="0.25">
      <c r="D13" s="32"/>
      <c r="E13" s="33"/>
      <c r="F13" s="39"/>
      <c r="G13" s="39"/>
      <c r="H13" s="33"/>
      <c r="I13" s="33"/>
      <c r="J13" s="33"/>
      <c r="K13" s="33"/>
      <c r="L13" s="33"/>
      <c r="M13" s="39"/>
      <c r="N13" s="39"/>
      <c r="O13" s="45"/>
      <c r="P13" s="221" t="s">
        <v>8</v>
      </c>
      <c r="Q13" s="222"/>
      <c r="R13" s="222"/>
      <c r="S13" s="46"/>
      <c r="T13" s="39"/>
      <c r="U13" s="39"/>
      <c r="V13" s="33"/>
      <c r="W13" s="33"/>
      <c r="X13" s="33"/>
      <c r="Y13" s="33"/>
      <c r="Z13" s="33"/>
      <c r="AA13" s="39"/>
      <c r="AB13" s="39"/>
      <c r="AC13" s="33"/>
      <c r="AD13" s="33"/>
      <c r="AE13" s="33"/>
      <c r="AF13" s="33"/>
      <c r="AG13" s="33"/>
      <c r="AH13" s="41"/>
      <c r="AK13" s="47"/>
      <c r="AL13" s="23"/>
      <c r="AM13" s="29">
        <v>7</v>
      </c>
    </row>
    <row r="14" spans="4:39" ht="15.75" thickBot="1" x14ac:dyDescent="0.25">
      <c r="AK14" s="47"/>
      <c r="AL14" s="23"/>
      <c r="AM14" s="24"/>
    </row>
    <row r="15" spans="4:39" x14ac:dyDescent="0.2">
      <c r="D15" s="194">
        <v>46054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6"/>
      <c r="AK15" s="47">
        <f>SUM(AK8+2.5-AM13)</f>
        <v>66</v>
      </c>
      <c r="AL15" s="23"/>
      <c r="AM15" s="24"/>
    </row>
    <row r="16" spans="4:39" x14ac:dyDescent="0.2">
      <c r="D16" s="42">
        <v>1</v>
      </c>
      <c r="E16" s="1">
        <v>2</v>
      </c>
      <c r="F16" s="1">
        <v>3</v>
      </c>
      <c r="G16" s="1">
        <v>4</v>
      </c>
      <c r="H16" s="31">
        <v>5</v>
      </c>
      <c r="I16" s="31">
        <v>6</v>
      </c>
      <c r="J16" s="38">
        <v>7</v>
      </c>
      <c r="K16" s="38">
        <v>8</v>
      </c>
      <c r="L16" s="31">
        <v>9</v>
      </c>
      <c r="M16" s="31">
        <v>10</v>
      </c>
      <c r="N16" s="31">
        <v>11</v>
      </c>
      <c r="O16" s="31">
        <v>12</v>
      </c>
      <c r="P16" s="31">
        <v>13</v>
      </c>
      <c r="Q16" s="38">
        <v>14</v>
      </c>
      <c r="R16" s="38">
        <v>15</v>
      </c>
      <c r="S16" s="31">
        <v>16</v>
      </c>
      <c r="T16" s="31">
        <v>17</v>
      </c>
      <c r="U16" s="31">
        <v>18</v>
      </c>
      <c r="V16" s="31">
        <v>19</v>
      </c>
      <c r="W16" s="31">
        <v>20</v>
      </c>
      <c r="X16" s="38">
        <v>21</v>
      </c>
      <c r="Y16" s="38">
        <v>22</v>
      </c>
      <c r="Z16" s="31">
        <v>23</v>
      </c>
      <c r="AA16" s="31">
        <v>24</v>
      </c>
      <c r="AB16" s="31">
        <v>25</v>
      </c>
      <c r="AC16" s="31">
        <v>26</v>
      </c>
      <c r="AD16" s="31">
        <v>27</v>
      </c>
      <c r="AE16" s="38">
        <v>28</v>
      </c>
      <c r="AF16" s="38">
        <v>29</v>
      </c>
      <c r="AG16" s="1"/>
      <c r="AH16" s="5"/>
      <c r="AK16" s="47"/>
      <c r="AL16" s="23"/>
      <c r="AM16" s="24"/>
    </row>
    <row r="17" spans="4:41" x14ac:dyDescent="0.2">
      <c r="D17" s="18"/>
      <c r="E17" s="233" t="s">
        <v>5</v>
      </c>
      <c r="F17" s="224"/>
      <c r="G17" s="224"/>
      <c r="H17" s="224"/>
      <c r="I17" s="224"/>
      <c r="J17" s="224"/>
      <c r="K17" s="224"/>
      <c r="L17" s="224"/>
      <c r="M17" s="226"/>
      <c r="N17" s="234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6"/>
      <c r="AF17" s="38"/>
      <c r="AG17" s="1"/>
      <c r="AH17" s="5"/>
      <c r="AK17" s="47"/>
      <c r="AL17" s="23"/>
      <c r="AM17" s="24"/>
    </row>
    <row r="18" spans="4:41" ht="15.75" thickBot="1" x14ac:dyDescent="0.25">
      <c r="D18" s="18" t="s">
        <v>4</v>
      </c>
      <c r="E18" s="1"/>
      <c r="F18" s="1"/>
      <c r="G18" s="1"/>
      <c r="H18" s="31"/>
      <c r="I18" s="31"/>
      <c r="J18" s="38"/>
      <c r="K18" s="38"/>
      <c r="L18" s="31"/>
      <c r="M18" s="31"/>
      <c r="N18" s="31"/>
      <c r="O18" s="31"/>
      <c r="P18" s="31"/>
      <c r="Q18" s="38"/>
      <c r="R18" s="38"/>
      <c r="S18" s="31"/>
      <c r="T18" s="31"/>
      <c r="U18" s="31"/>
      <c r="V18" s="31"/>
      <c r="W18" s="31"/>
      <c r="X18" s="38"/>
      <c r="Y18" s="237" t="s">
        <v>7</v>
      </c>
      <c r="Z18" s="238"/>
      <c r="AA18" s="238"/>
      <c r="AB18" s="238"/>
      <c r="AC18" s="238"/>
      <c r="AD18" s="238"/>
      <c r="AE18" s="238"/>
      <c r="AF18" s="110"/>
      <c r="AG18" s="1"/>
      <c r="AH18" s="5"/>
      <c r="AK18" s="47"/>
      <c r="AL18" s="23"/>
      <c r="AM18" s="24"/>
    </row>
    <row r="19" spans="4:41" ht="15.75" thickBot="1" x14ac:dyDescent="0.25">
      <c r="D19" s="19"/>
      <c r="E19" s="7"/>
      <c r="F19" s="7"/>
      <c r="G19" s="7"/>
      <c r="H19" s="33"/>
      <c r="I19" s="33"/>
      <c r="J19" s="39"/>
      <c r="K19" s="39"/>
      <c r="L19" s="22" t="s">
        <v>9</v>
      </c>
      <c r="M19" s="33"/>
      <c r="N19" s="33"/>
      <c r="O19" s="33"/>
      <c r="P19" s="33"/>
      <c r="Q19" s="39"/>
      <c r="R19" s="39"/>
      <c r="S19" s="33"/>
      <c r="T19" s="33"/>
      <c r="U19" s="33"/>
      <c r="V19" s="33"/>
      <c r="W19" s="33"/>
      <c r="X19" s="39"/>
      <c r="Y19" s="39"/>
      <c r="Z19" s="33"/>
      <c r="AA19" s="33"/>
      <c r="AB19" s="33"/>
      <c r="AC19" s="33"/>
      <c r="AD19" s="33"/>
      <c r="AE19" s="39"/>
      <c r="AF19" s="39"/>
      <c r="AG19" s="7"/>
      <c r="AH19" s="8"/>
      <c r="AK19" s="47"/>
      <c r="AL19" s="23"/>
      <c r="AM19" s="29">
        <v>1</v>
      </c>
    </row>
    <row r="20" spans="4:41" ht="15.75" thickBot="1" x14ac:dyDescent="0.25">
      <c r="AK20" s="47"/>
      <c r="AL20" s="23"/>
      <c r="AM20" s="28"/>
    </row>
    <row r="21" spans="4:41" x14ac:dyDescent="0.2">
      <c r="D21" s="194">
        <v>46082</v>
      </c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6"/>
      <c r="AJ21" s="164" t="s">
        <v>0</v>
      </c>
      <c r="AK21" s="47">
        <f>SUM(AK15+2.5-AM19)</f>
        <v>67.5</v>
      </c>
      <c r="AL21" s="23"/>
      <c r="AM21" s="24"/>
    </row>
    <row r="22" spans="4:41" x14ac:dyDescent="0.2">
      <c r="D22" s="42">
        <v>1</v>
      </c>
      <c r="E22" s="1">
        <v>2</v>
      </c>
      <c r="F22" s="31">
        <v>3</v>
      </c>
      <c r="G22" s="31">
        <v>4</v>
      </c>
      <c r="H22" s="31">
        <v>5</v>
      </c>
      <c r="I22" s="31">
        <v>6</v>
      </c>
      <c r="J22" s="38">
        <v>7</v>
      </c>
      <c r="K22" s="38">
        <v>8</v>
      </c>
      <c r="L22" s="31">
        <v>9</v>
      </c>
      <c r="M22" s="31">
        <v>10</v>
      </c>
      <c r="N22" s="31">
        <v>11</v>
      </c>
      <c r="O22" s="31">
        <v>12</v>
      </c>
      <c r="P22" s="31">
        <v>13</v>
      </c>
      <c r="Q22" s="38">
        <v>14</v>
      </c>
      <c r="R22" s="38">
        <v>15</v>
      </c>
      <c r="S22" s="31">
        <v>16</v>
      </c>
      <c r="T22" s="31">
        <v>17</v>
      </c>
      <c r="U22" s="31">
        <v>18</v>
      </c>
      <c r="V22" s="31">
        <v>19</v>
      </c>
      <c r="W22" s="31">
        <v>20</v>
      </c>
      <c r="X22" s="38">
        <v>21</v>
      </c>
      <c r="Y22" s="38">
        <v>22</v>
      </c>
      <c r="Z22" s="31">
        <v>23</v>
      </c>
      <c r="AA22" s="31">
        <v>24</v>
      </c>
      <c r="AB22" s="31">
        <v>25</v>
      </c>
      <c r="AC22" s="31">
        <v>26</v>
      </c>
      <c r="AD22" s="31">
        <v>27</v>
      </c>
      <c r="AE22" s="38">
        <v>28</v>
      </c>
      <c r="AF22" s="38">
        <v>29</v>
      </c>
      <c r="AG22" s="31">
        <v>30</v>
      </c>
      <c r="AH22" s="34">
        <v>31</v>
      </c>
      <c r="AK22" s="47"/>
      <c r="AL22" s="23"/>
      <c r="AM22" s="24"/>
    </row>
    <row r="23" spans="4:41" x14ac:dyDescent="0.2">
      <c r="D23" s="223" t="s">
        <v>5</v>
      </c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5"/>
      <c r="AK23" s="47"/>
      <c r="AL23" s="23"/>
      <c r="AM23" s="24"/>
    </row>
    <row r="24" spans="4:41" ht="15.75" thickBot="1" x14ac:dyDescent="0.25">
      <c r="D24" s="237" t="s">
        <v>6</v>
      </c>
      <c r="E24" s="239"/>
      <c r="F24" s="239"/>
      <c r="G24" s="239"/>
      <c r="H24" s="239"/>
      <c r="I24" s="239"/>
      <c r="J24" s="239"/>
      <c r="K24" s="240"/>
      <c r="L24" s="241" t="s">
        <v>10</v>
      </c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3"/>
      <c r="X24" s="38"/>
      <c r="Y24" s="38"/>
      <c r="Z24" s="237" t="s">
        <v>13</v>
      </c>
      <c r="AA24" s="239"/>
      <c r="AB24" s="239"/>
      <c r="AC24" s="237" t="s">
        <v>14</v>
      </c>
      <c r="AD24" s="239"/>
      <c r="AE24" s="239"/>
      <c r="AF24" s="39"/>
      <c r="AG24" s="31"/>
      <c r="AH24" s="34"/>
      <c r="AK24" s="47"/>
      <c r="AL24" s="23"/>
      <c r="AM24" s="24"/>
    </row>
    <row r="25" spans="4:41" ht="15.75" thickBot="1" x14ac:dyDescent="0.25">
      <c r="D25" s="43"/>
      <c r="E25" s="7"/>
      <c r="F25" s="33"/>
      <c r="G25" s="33"/>
      <c r="H25" s="33"/>
      <c r="I25" s="33"/>
      <c r="J25" s="39"/>
      <c r="K25" s="39"/>
      <c r="L25" s="33"/>
      <c r="M25" s="33"/>
      <c r="N25" s="33"/>
      <c r="O25" s="33"/>
      <c r="P25" s="33"/>
      <c r="Q25" s="39"/>
      <c r="R25" s="39"/>
      <c r="S25" s="33"/>
      <c r="T25" s="33"/>
      <c r="U25" s="33"/>
      <c r="V25" s="33"/>
      <c r="W25" s="33"/>
      <c r="X25" s="39"/>
      <c r="Y25" s="39"/>
      <c r="Z25" s="33"/>
      <c r="AA25" s="33"/>
      <c r="AB25" s="33"/>
      <c r="AC25" s="33"/>
      <c r="AD25" s="33"/>
      <c r="AE25" s="39"/>
      <c r="AF25" s="39"/>
      <c r="AG25" s="33"/>
      <c r="AH25" s="35"/>
      <c r="AK25" s="47"/>
      <c r="AL25" s="23"/>
      <c r="AM25" s="29">
        <v>0</v>
      </c>
    </row>
    <row r="26" spans="4:41" ht="30" thickBot="1" x14ac:dyDescent="0.4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K26" s="47"/>
      <c r="AL26" s="23"/>
      <c r="AM26" s="28"/>
      <c r="AO26" s="126" t="s">
        <v>42</v>
      </c>
    </row>
    <row r="27" spans="4:41" ht="30" thickBot="1" x14ac:dyDescent="0.45">
      <c r="D27" s="190">
        <v>46113</v>
      </c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2"/>
      <c r="AG27" s="192"/>
      <c r="AH27" s="193"/>
      <c r="AJ27" s="164" t="s">
        <v>50</v>
      </c>
      <c r="AK27" s="47">
        <v>69</v>
      </c>
      <c r="AL27" s="23"/>
      <c r="AM27" s="24"/>
      <c r="AO27" s="126">
        <v>23</v>
      </c>
    </row>
    <row r="28" spans="4:41" ht="29.25" x14ac:dyDescent="0.4">
      <c r="D28" s="36">
        <v>1</v>
      </c>
      <c r="E28" s="37">
        <v>2</v>
      </c>
      <c r="F28" s="37">
        <v>3</v>
      </c>
      <c r="G28" s="44">
        <v>4</v>
      </c>
      <c r="H28" s="44">
        <v>5</v>
      </c>
      <c r="I28" s="37">
        <v>6</v>
      </c>
      <c r="J28" s="37">
        <v>7</v>
      </c>
      <c r="K28" s="37">
        <v>8</v>
      </c>
      <c r="L28" s="37">
        <v>9</v>
      </c>
      <c r="M28" s="37">
        <v>10</v>
      </c>
      <c r="N28" s="44">
        <v>11</v>
      </c>
      <c r="O28" s="44">
        <v>12</v>
      </c>
      <c r="P28" s="37">
        <v>13</v>
      </c>
      <c r="Q28" s="37">
        <v>14</v>
      </c>
      <c r="R28" s="37">
        <v>15</v>
      </c>
      <c r="S28" s="37">
        <v>16</v>
      </c>
      <c r="T28" s="37">
        <v>17</v>
      </c>
      <c r="U28" s="44">
        <v>18</v>
      </c>
      <c r="V28" s="44">
        <v>19</v>
      </c>
      <c r="W28" s="37">
        <v>20</v>
      </c>
      <c r="X28" s="37">
        <v>21</v>
      </c>
      <c r="Y28" s="37">
        <v>22</v>
      </c>
      <c r="Z28" s="37">
        <v>23</v>
      </c>
      <c r="AA28" s="37">
        <v>24</v>
      </c>
      <c r="AB28" s="44">
        <v>25</v>
      </c>
      <c r="AC28" s="44">
        <v>26</v>
      </c>
      <c r="AD28" s="37">
        <v>27</v>
      </c>
      <c r="AE28" s="37">
        <v>28</v>
      </c>
      <c r="AF28" s="37">
        <v>29</v>
      </c>
      <c r="AG28" s="2">
        <v>30</v>
      </c>
      <c r="AH28" s="3"/>
      <c r="AK28" s="47"/>
      <c r="AL28" s="23"/>
      <c r="AM28" s="24"/>
      <c r="AO28" s="126"/>
    </row>
    <row r="29" spans="4:41" ht="29.25" x14ac:dyDescent="0.4">
      <c r="D29" s="230" t="s">
        <v>19</v>
      </c>
      <c r="E29" s="231"/>
      <c r="F29" s="232"/>
      <c r="G29" s="223" t="s">
        <v>5</v>
      </c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157" t="s">
        <v>87</v>
      </c>
      <c r="AH29" s="71"/>
      <c r="AK29" s="47"/>
      <c r="AL29" s="23"/>
      <c r="AM29" s="24"/>
      <c r="AO29" s="126"/>
    </row>
    <row r="30" spans="4:41" ht="30" thickBot="1" x14ac:dyDescent="0.45">
      <c r="D30" s="30"/>
      <c r="E30" s="31"/>
      <c r="F30" s="31"/>
      <c r="G30" s="38"/>
      <c r="H30" s="38"/>
      <c r="I30" s="31"/>
      <c r="J30" s="31"/>
      <c r="K30" s="31"/>
      <c r="L30" s="31"/>
      <c r="M30" s="31"/>
      <c r="N30" s="38"/>
      <c r="O30" s="38"/>
      <c r="P30" s="31"/>
      <c r="Q30" s="31"/>
      <c r="R30" s="31"/>
      <c r="S30" s="31"/>
      <c r="T30" s="31"/>
      <c r="U30" s="38"/>
      <c r="V30" s="38"/>
      <c r="W30" s="33"/>
      <c r="X30" s="33"/>
      <c r="Y30" s="33"/>
      <c r="Z30" s="33"/>
      <c r="AA30" s="33"/>
      <c r="AB30" s="39"/>
      <c r="AC30" s="39"/>
      <c r="AD30" s="33"/>
      <c r="AE30" s="33"/>
      <c r="AF30" s="33"/>
      <c r="AG30" s="7"/>
      <c r="AH30" s="8"/>
      <c r="AK30" s="47"/>
      <c r="AL30" s="23"/>
      <c r="AM30" s="24"/>
      <c r="AO30" s="126"/>
    </row>
    <row r="31" spans="4:41" ht="30" thickBot="1" x14ac:dyDescent="0.45">
      <c r="D31" s="32"/>
      <c r="E31" s="33"/>
      <c r="F31" s="33"/>
      <c r="G31" s="39"/>
      <c r="H31" s="39"/>
      <c r="I31" s="33"/>
      <c r="J31" s="33"/>
      <c r="K31" s="33"/>
      <c r="L31" s="33"/>
      <c r="M31" s="33"/>
      <c r="N31" s="39"/>
      <c r="O31" s="39"/>
      <c r="P31" s="33"/>
      <c r="Q31" s="33"/>
      <c r="R31" s="33"/>
      <c r="S31" s="33"/>
      <c r="T31" s="33"/>
      <c r="U31" s="39"/>
      <c r="V31" s="39"/>
      <c r="W31" s="33"/>
      <c r="X31" s="33"/>
      <c r="Y31" s="33"/>
      <c r="Z31" s="33"/>
      <c r="AA31" s="33"/>
      <c r="AB31" s="39"/>
      <c r="AC31" s="39"/>
      <c r="AD31" s="33"/>
      <c r="AE31" s="33"/>
      <c r="AF31" s="33"/>
      <c r="AG31" s="7"/>
      <c r="AH31" s="8"/>
      <c r="AK31" s="47"/>
      <c r="AL31" s="23"/>
      <c r="AM31" s="29">
        <v>4</v>
      </c>
      <c r="AO31" s="126">
        <f>SUM(AO27-AM31)</f>
        <v>19</v>
      </c>
    </row>
    <row r="32" spans="4:41" ht="30" thickBot="1" x14ac:dyDescent="0.45">
      <c r="AK32" s="47"/>
      <c r="AL32" s="23"/>
      <c r="AM32" s="24"/>
      <c r="AO32" s="126"/>
    </row>
    <row r="33" spans="2:41" ht="29.25" x14ac:dyDescent="0.4">
      <c r="D33" s="194">
        <v>46143</v>
      </c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6"/>
      <c r="AJ33" s="164" t="s">
        <v>51</v>
      </c>
      <c r="AK33" s="47">
        <v>68</v>
      </c>
      <c r="AL33" s="23"/>
      <c r="AM33" s="24"/>
      <c r="AO33" s="126"/>
    </row>
    <row r="34" spans="2:41" ht="29.25" x14ac:dyDescent="0.4">
      <c r="D34" s="4">
        <v>1</v>
      </c>
      <c r="E34" s="38">
        <v>2</v>
      </c>
      <c r="F34" s="38">
        <v>3</v>
      </c>
      <c r="G34" s="31">
        <v>4</v>
      </c>
      <c r="H34" s="31">
        <v>5</v>
      </c>
      <c r="I34" s="31">
        <v>6</v>
      </c>
      <c r="J34" s="31">
        <v>7</v>
      </c>
      <c r="K34" s="31">
        <v>8</v>
      </c>
      <c r="L34" s="38">
        <v>9</v>
      </c>
      <c r="M34" s="38">
        <v>10</v>
      </c>
      <c r="N34" s="31">
        <v>11</v>
      </c>
      <c r="O34" s="31">
        <v>12</v>
      </c>
      <c r="P34" s="31">
        <v>13</v>
      </c>
      <c r="Q34" s="31">
        <v>14</v>
      </c>
      <c r="R34" s="31">
        <v>15</v>
      </c>
      <c r="S34" s="38">
        <v>16</v>
      </c>
      <c r="T34" s="38">
        <v>17</v>
      </c>
      <c r="U34" s="31">
        <v>18</v>
      </c>
      <c r="V34" s="31">
        <v>19</v>
      </c>
      <c r="W34" s="31">
        <v>20</v>
      </c>
      <c r="X34" s="31">
        <v>21</v>
      </c>
      <c r="Y34" s="31">
        <v>22</v>
      </c>
      <c r="Z34" s="38">
        <v>23</v>
      </c>
      <c r="AA34" s="38">
        <v>24</v>
      </c>
      <c r="AB34" s="31">
        <v>25</v>
      </c>
      <c r="AC34" s="31">
        <v>26</v>
      </c>
      <c r="AD34" s="31">
        <v>27</v>
      </c>
      <c r="AE34" s="31">
        <v>28</v>
      </c>
      <c r="AF34" s="31">
        <v>29</v>
      </c>
      <c r="AG34" s="38">
        <v>30</v>
      </c>
      <c r="AH34" s="40">
        <v>31</v>
      </c>
      <c r="AK34" s="47"/>
      <c r="AL34" s="23"/>
      <c r="AM34" s="24"/>
      <c r="AO34" s="126"/>
    </row>
    <row r="35" spans="2:41" ht="29.25" x14ac:dyDescent="0.4">
      <c r="D35" s="158" t="s">
        <v>87</v>
      </c>
      <c r="E35" s="223" t="s">
        <v>5</v>
      </c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5"/>
      <c r="AK35" s="47"/>
      <c r="AL35" s="23"/>
      <c r="AM35" s="24"/>
      <c r="AO35" s="126"/>
    </row>
    <row r="36" spans="2:41" ht="30" thickBot="1" x14ac:dyDescent="0.45">
      <c r="D36" s="4"/>
      <c r="E36" s="38"/>
      <c r="F36" s="38"/>
      <c r="G36" s="31"/>
      <c r="H36" s="31"/>
      <c r="I36" s="31"/>
      <c r="J36" s="31"/>
      <c r="K36" s="31"/>
      <c r="L36" s="38"/>
      <c r="M36" s="38"/>
      <c r="N36" s="31"/>
      <c r="O36" s="31"/>
      <c r="P36" s="31"/>
      <c r="Q36" s="31"/>
      <c r="R36" s="31"/>
      <c r="S36" s="38"/>
      <c r="T36" s="38"/>
      <c r="U36" s="31"/>
      <c r="V36" s="31"/>
      <c r="W36" s="31"/>
      <c r="X36" s="31"/>
      <c r="Y36" s="31"/>
      <c r="Z36" s="38"/>
      <c r="AA36" s="38"/>
      <c r="AB36" s="31"/>
      <c r="AC36" s="31"/>
      <c r="AD36" s="31"/>
      <c r="AE36" s="31"/>
      <c r="AF36" s="31"/>
      <c r="AG36" s="38"/>
      <c r="AH36" s="40"/>
      <c r="AK36" s="47"/>
      <c r="AL36" s="23"/>
      <c r="AM36" s="24"/>
      <c r="AO36" s="126"/>
    </row>
    <row r="37" spans="2:41" ht="30" thickBot="1" x14ac:dyDescent="0.45">
      <c r="D37" s="6"/>
      <c r="E37" s="39"/>
      <c r="F37" s="39"/>
      <c r="G37" s="33"/>
      <c r="H37" s="33"/>
      <c r="I37" s="33"/>
      <c r="J37" s="33"/>
      <c r="K37" s="33"/>
      <c r="L37" s="39"/>
      <c r="M37" s="39"/>
      <c r="N37" s="33"/>
      <c r="O37" s="33"/>
      <c r="P37" s="33"/>
      <c r="Q37" s="33"/>
      <c r="R37" s="33"/>
      <c r="S37" s="39"/>
      <c r="T37" s="39"/>
      <c r="U37" s="33"/>
      <c r="V37" s="33"/>
      <c r="W37" s="33"/>
      <c r="X37" s="33"/>
      <c r="Y37" s="33"/>
      <c r="Z37" s="39"/>
      <c r="AA37" s="39"/>
      <c r="AB37" s="33"/>
      <c r="AC37" s="33"/>
      <c r="AD37" s="33"/>
      <c r="AE37" s="33"/>
      <c r="AF37" s="33"/>
      <c r="AG37" s="39"/>
      <c r="AH37" s="41"/>
      <c r="AK37" s="47"/>
      <c r="AL37" s="23"/>
      <c r="AM37" s="29">
        <v>1</v>
      </c>
      <c r="AO37" s="126">
        <f>SUM(AO31-AM37)</f>
        <v>18</v>
      </c>
    </row>
    <row r="38" spans="2:41" ht="30" thickBot="1" x14ac:dyDescent="0.4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K38" s="47"/>
      <c r="AL38" s="23"/>
      <c r="AM38" s="24"/>
      <c r="AO38" s="126"/>
    </row>
    <row r="39" spans="2:41" ht="30" thickBot="1" x14ac:dyDescent="0.45">
      <c r="D39" s="190">
        <v>46174</v>
      </c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2"/>
      <c r="AG39" s="192"/>
      <c r="AH39" s="193"/>
      <c r="AJ39" s="164" t="s">
        <v>52</v>
      </c>
      <c r="AK39" s="47">
        <f>SUM(AK33+2.5-AM37)</f>
        <v>69.5</v>
      </c>
      <c r="AL39" s="23"/>
      <c r="AM39" s="24"/>
      <c r="AO39" s="126"/>
    </row>
    <row r="40" spans="2:41" ht="29.25" x14ac:dyDescent="0.4">
      <c r="D40" s="36">
        <v>1</v>
      </c>
      <c r="E40" s="37">
        <v>2</v>
      </c>
      <c r="F40" s="37">
        <v>3</v>
      </c>
      <c r="G40" s="37">
        <v>4</v>
      </c>
      <c r="H40" s="37">
        <v>5</v>
      </c>
      <c r="I40" s="44">
        <v>6</v>
      </c>
      <c r="J40" s="44">
        <v>7</v>
      </c>
      <c r="K40" s="37">
        <v>8</v>
      </c>
      <c r="L40" s="37">
        <v>9</v>
      </c>
      <c r="M40" s="37">
        <v>10</v>
      </c>
      <c r="N40" s="37">
        <v>11</v>
      </c>
      <c r="O40" s="37">
        <v>12</v>
      </c>
      <c r="P40" s="44">
        <v>13</v>
      </c>
      <c r="Q40" s="44">
        <v>14</v>
      </c>
      <c r="R40" s="37">
        <v>15</v>
      </c>
      <c r="S40" s="37">
        <v>16</v>
      </c>
      <c r="T40" s="37">
        <v>17</v>
      </c>
      <c r="U40" s="37">
        <v>18</v>
      </c>
      <c r="V40" s="37">
        <v>19</v>
      </c>
      <c r="W40" s="44">
        <v>20</v>
      </c>
      <c r="X40" s="44">
        <v>21</v>
      </c>
      <c r="Y40" s="37">
        <v>22</v>
      </c>
      <c r="Z40" s="37">
        <v>23</v>
      </c>
      <c r="AA40" s="37">
        <v>24</v>
      </c>
      <c r="AB40" s="37">
        <v>25</v>
      </c>
      <c r="AC40" s="37">
        <v>26</v>
      </c>
      <c r="AD40" s="44">
        <v>27</v>
      </c>
      <c r="AE40" s="44">
        <v>28</v>
      </c>
      <c r="AF40" s="37">
        <v>29</v>
      </c>
      <c r="AG40" s="2">
        <v>30</v>
      </c>
      <c r="AH40" s="3"/>
      <c r="AK40" s="47"/>
      <c r="AL40" s="23"/>
      <c r="AM40" s="24"/>
      <c r="AO40" s="126"/>
    </row>
    <row r="41" spans="2:41" ht="29.25" x14ac:dyDescent="0.4">
      <c r="D41" s="223" t="s">
        <v>5</v>
      </c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6"/>
      <c r="AH41" s="5"/>
      <c r="AK41" s="47"/>
      <c r="AL41" s="23"/>
      <c r="AM41" s="24"/>
      <c r="AO41" s="126"/>
    </row>
    <row r="42" spans="2:41" ht="30" thickBot="1" x14ac:dyDescent="0.45">
      <c r="D42" s="30"/>
      <c r="E42" s="31"/>
      <c r="F42" s="31"/>
      <c r="G42" s="31"/>
      <c r="H42" s="31"/>
      <c r="I42" s="38"/>
      <c r="J42" s="38"/>
      <c r="K42" s="31"/>
      <c r="L42" s="31"/>
      <c r="M42" s="87" t="str">
        <f>(D140)</f>
        <v>VA Individual Appointments</v>
      </c>
      <c r="N42" s="31"/>
      <c r="O42" s="31"/>
      <c r="P42" s="38"/>
      <c r="Q42" s="38"/>
      <c r="R42" s="31"/>
      <c r="S42" s="31"/>
      <c r="T42" s="31"/>
      <c r="U42" s="31"/>
      <c r="V42" s="31"/>
      <c r="W42" s="38"/>
      <c r="X42" s="38"/>
      <c r="Y42" s="31"/>
      <c r="Z42" s="31"/>
      <c r="AA42" s="31"/>
      <c r="AB42" s="31"/>
      <c r="AC42" s="31"/>
      <c r="AD42" s="38"/>
      <c r="AE42" s="38"/>
      <c r="AF42" s="31"/>
      <c r="AG42" s="1"/>
      <c r="AH42" s="5"/>
      <c r="AK42" s="47"/>
      <c r="AL42" s="23"/>
      <c r="AM42" s="24"/>
      <c r="AO42" s="126"/>
    </row>
    <row r="43" spans="2:41" ht="30" thickBot="1" x14ac:dyDescent="0.45">
      <c r="D43" s="32"/>
      <c r="E43" s="33"/>
      <c r="F43" s="33"/>
      <c r="G43" s="33"/>
      <c r="H43" s="33"/>
      <c r="I43" s="39"/>
      <c r="J43" s="39"/>
      <c r="K43" s="33"/>
      <c r="L43" s="33"/>
      <c r="M43" s="33"/>
      <c r="N43" s="33"/>
      <c r="O43" s="33"/>
      <c r="P43" s="39"/>
      <c r="Q43" s="39"/>
      <c r="R43" s="33"/>
      <c r="S43" s="33"/>
      <c r="T43" s="33"/>
      <c r="U43" s="33"/>
      <c r="V43" s="143" t="s">
        <v>91</v>
      </c>
      <c r="W43" s="127" t="s">
        <v>44</v>
      </c>
      <c r="X43" s="39"/>
      <c r="Y43" s="33"/>
      <c r="Z43" s="33"/>
      <c r="AA43" s="33"/>
      <c r="AB43" s="33"/>
      <c r="AC43" s="33"/>
      <c r="AD43" s="39"/>
      <c r="AE43" s="39"/>
      <c r="AF43" s="33"/>
      <c r="AG43" s="7"/>
      <c r="AH43" s="8"/>
      <c r="AK43" s="47"/>
      <c r="AL43" s="23"/>
      <c r="AM43" s="29">
        <v>0</v>
      </c>
      <c r="AO43" s="126">
        <f>SUM(AO37-AM43)</f>
        <v>18</v>
      </c>
    </row>
    <row r="44" spans="2:41" ht="30" thickBot="1" x14ac:dyDescent="0.45"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6"/>
      <c r="AJ44" s="106"/>
      <c r="AK44" s="107"/>
      <c r="AL44" s="108"/>
      <c r="AM44" s="109"/>
      <c r="AO44" s="126"/>
    </row>
    <row r="45" spans="2:41" ht="29.25" x14ac:dyDescent="0.4">
      <c r="B45" s="244" t="s">
        <v>40</v>
      </c>
      <c r="C45" s="244"/>
      <c r="D45" s="194">
        <v>46204</v>
      </c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6"/>
      <c r="AJ45" s="164" t="s">
        <v>53</v>
      </c>
      <c r="AK45" s="47">
        <f>SUM(AK39+2.5-AM43)</f>
        <v>72</v>
      </c>
      <c r="AL45" s="23"/>
      <c r="AM45" s="24"/>
      <c r="AO45" s="126"/>
    </row>
    <row r="46" spans="2:41" ht="29.25" x14ac:dyDescent="0.4">
      <c r="B46" s="244"/>
      <c r="C46" s="244"/>
      <c r="D46" s="4">
        <v>1</v>
      </c>
      <c r="E46" s="1">
        <v>2</v>
      </c>
      <c r="F46" s="1">
        <v>3</v>
      </c>
      <c r="G46" s="10">
        <v>4</v>
      </c>
      <c r="H46" s="10">
        <v>5</v>
      </c>
      <c r="I46" s="1">
        <v>6</v>
      </c>
      <c r="J46" s="1">
        <v>7</v>
      </c>
      <c r="K46" s="1">
        <v>8</v>
      </c>
      <c r="L46" s="1">
        <v>9</v>
      </c>
      <c r="M46" s="1">
        <v>10</v>
      </c>
      <c r="N46" s="10">
        <v>11</v>
      </c>
      <c r="O46" s="10">
        <v>12</v>
      </c>
      <c r="P46" s="1">
        <v>13</v>
      </c>
      <c r="Q46" s="1">
        <v>14</v>
      </c>
      <c r="R46" s="1">
        <v>15</v>
      </c>
      <c r="S46" s="1">
        <v>16</v>
      </c>
      <c r="T46" s="1">
        <v>17</v>
      </c>
      <c r="U46" s="10">
        <v>18</v>
      </c>
      <c r="V46" s="10">
        <v>19</v>
      </c>
      <c r="W46" s="1">
        <v>20</v>
      </c>
      <c r="X46" s="1">
        <v>21</v>
      </c>
      <c r="Y46" s="1">
        <v>22</v>
      </c>
      <c r="Z46" s="1">
        <v>23</v>
      </c>
      <c r="AA46" s="1">
        <v>24</v>
      </c>
      <c r="AB46" s="10">
        <v>25</v>
      </c>
      <c r="AC46" s="10">
        <v>26</v>
      </c>
      <c r="AD46" s="1">
        <v>27</v>
      </c>
      <c r="AE46" s="1">
        <v>28</v>
      </c>
      <c r="AF46" s="1">
        <v>29</v>
      </c>
      <c r="AG46" s="1">
        <v>30</v>
      </c>
      <c r="AH46" s="5">
        <v>31</v>
      </c>
      <c r="AK46" s="47"/>
      <c r="AL46" s="23"/>
      <c r="AM46" s="24"/>
      <c r="AO46" s="126"/>
    </row>
    <row r="47" spans="2:41" ht="29.25" x14ac:dyDescent="0.4">
      <c r="B47" s="244"/>
      <c r="C47" s="244"/>
      <c r="D47" s="223" t="s">
        <v>5</v>
      </c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5"/>
      <c r="AK47" s="47"/>
      <c r="AL47" s="23"/>
      <c r="AM47" s="24"/>
      <c r="AO47" s="126"/>
    </row>
    <row r="48" spans="2:41" ht="30" thickBot="1" x14ac:dyDescent="0.45">
      <c r="B48" s="244"/>
      <c r="C48" s="244"/>
      <c r="D48" s="4"/>
      <c r="E48" s="1"/>
      <c r="F48" s="1"/>
      <c r="G48" s="10"/>
      <c r="H48" s="10"/>
      <c r="I48" s="1"/>
      <c r="J48" s="90" t="str">
        <f>(D133)</f>
        <v>Pre Separation Brief</v>
      </c>
      <c r="K48" s="1"/>
      <c r="L48" s="1"/>
      <c r="M48" s="1"/>
      <c r="N48" s="10"/>
      <c r="O48" s="10"/>
      <c r="P48" s="245" t="str">
        <f>(D134)</f>
        <v>Three-Day Transition Workshop</v>
      </c>
      <c r="Q48" s="246"/>
      <c r="R48" s="247"/>
      <c r="S48" s="248" t="str">
        <f>(D137)</f>
        <v>Employment 2 Day Seminar</v>
      </c>
      <c r="T48" s="249"/>
      <c r="U48" s="10"/>
      <c r="V48" s="10"/>
      <c r="W48" s="250" t="str">
        <f>(D135)</f>
        <v>Entrepreneurship 2-Day Seminar</v>
      </c>
      <c r="X48" s="251"/>
      <c r="Y48" s="1"/>
      <c r="Z48" s="1"/>
      <c r="AA48" s="1"/>
      <c r="AB48" s="10"/>
      <c r="AC48" s="10"/>
      <c r="AD48" s="1"/>
      <c r="AE48" s="90" t="str">
        <f>(D133)</f>
        <v>Pre Separation Brief</v>
      </c>
      <c r="AF48" s="1"/>
      <c r="AG48" s="259" t="str">
        <f>(D136)</f>
        <v>Career &amp; Credential Exploration 2 Day Seminar</v>
      </c>
      <c r="AH48" s="260"/>
      <c r="AK48" s="47"/>
      <c r="AL48" s="23"/>
      <c r="AM48" s="24"/>
      <c r="AO48" s="126"/>
    </row>
    <row r="49" spans="2:94" ht="30" thickBot="1" x14ac:dyDescent="0.45">
      <c r="B49" s="244"/>
      <c r="C49" s="244"/>
      <c r="D49" s="6"/>
      <c r="E49" s="149" t="s">
        <v>104</v>
      </c>
      <c r="F49" s="22" t="s">
        <v>3</v>
      </c>
      <c r="G49" s="11"/>
      <c r="H49" s="11"/>
      <c r="I49" s="7"/>
      <c r="J49" s="7"/>
      <c r="K49" s="7"/>
      <c r="L49" s="7"/>
      <c r="M49" s="7"/>
      <c r="N49" s="11"/>
      <c r="O49" s="11"/>
      <c r="P49" s="66" t="s">
        <v>109</v>
      </c>
      <c r="Q49" s="7"/>
      <c r="R49" s="87" t="str">
        <f>(D140)</f>
        <v>VA Individual Appointments</v>
      </c>
      <c r="S49" s="76"/>
      <c r="T49" s="77"/>
      <c r="U49" s="11"/>
      <c r="V49" s="11"/>
      <c r="W49" s="7"/>
      <c r="X49" s="7"/>
      <c r="Y49" s="7"/>
      <c r="Z49" s="7"/>
      <c r="AA49" s="7"/>
      <c r="AB49" s="11"/>
      <c r="AC49" s="11"/>
      <c r="AD49" s="161"/>
      <c r="AE49" s="7"/>
      <c r="AF49" s="7"/>
      <c r="AG49" s="7"/>
      <c r="AH49" s="66" t="s">
        <v>15</v>
      </c>
      <c r="AK49" s="47"/>
      <c r="AL49" s="23"/>
      <c r="AM49" s="29">
        <v>0</v>
      </c>
      <c r="AO49" s="126">
        <f>SUM(AO43-AM49)</f>
        <v>18</v>
      </c>
    </row>
    <row r="50" spans="2:94" ht="30" thickBot="1" x14ac:dyDescent="0.45">
      <c r="B50" s="244"/>
      <c r="C50" s="244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7"/>
      <c r="AO50" s="126"/>
    </row>
    <row r="51" spans="2:94" ht="29.25" x14ac:dyDescent="0.4">
      <c r="B51" s="244"/>
      <c r="C51" s="244"/>
      <c r="D51" s="194">
        <v>46235</v>
      </c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6"/>
      <c r="AJ51" s="164" t="s">
        <v>54</v>
      </c>
      <c r="AK51" s="47">
        <f>SUM(AK45+2.5-AM49)</f>
        <v>74.5</v>
      </c>
      <c r="AL51" s="23"/>
      <c r="AM51" s="24"/>
      <c r="AO51" s="126"/>
    </row>
    <row r="52" spans="2:94" ht="29.25" x14ac:dyDescent="0.4">
      <c r="B52" s="244"/>
      <c r="C52" s="244"/>
      <c r="D52" s="12">
        <v>1</v>
      </c>
      <c r="E52" s="10">
        <v>2</v>
      </c>
      <c r="F52" s="1">
        <v>3</v>
      </c>
      <c r="G52" s="1">
        <v>4</v>
      </c>
      <c r="H52" s="1">
        <v>5</v>
      </c>
      <c r="I52" s="1">
        <v>6</v>
      </c>
      <c r="J52" s="1">
        <v>7</v>
      </c>
      <c r="K52" s="10">
        <v>8</v>
      </c>
      <c r="L52" s="10">
        <v>9</v>
      </c>
      <c r="M52" s="1">
        <v>10</v>
      </c>
      <c r="N52" s="1">
        <v>11</v>
      </c>
      <c r="O52" s="1">
        <v>12</v>
      </c>
      <c r="P52" s="1">
        <v>13</v>
      </c>
      <c r="Q52" s="1">
        <v>14</v>
      </c>
      <c r="R52" s="10">
        <v>15</v>
      </c>
      <c r="S52" s="10">
        <v>16</v>
      </c>
      <c r="T52" s="1">
        <v>17</v>
      </c>
      <c r="U52" s="1">
        <v>18</v>
      </c>
      <c r="V52" s="1">
        <v>19</v>
      </c>
      <c r="W52" s="1">
        <v>20</v>
      </c>
      <c r="X52" s="1">
        <v>21</v>
      </c>
      <c r="Y52" s="10">
        <v>22</v>
      </c>
      <c r="Z52" s="10">
        <v>23</v>
      </c>
      <c r="AA52" s="1">
        <v>24</v>
      </c>
      <c r="AB52" s="1">
        <v>25</v>
      </c>
      <c r="AC52" s="1">
        <v>26</v>
      </c>
      <c r="AD52" s="1">
        <v>27</v>
      </c>
      <c r="AE52" s="1">
        <v>28</v>
      </c>
      <c r="AF52" s="10">
        <v>29</v>
      </c>
      <c r="AG52" s="10">
        <v>30</v>
      </c>
      <c r="AH52" s="5">
        <v>31</v>
      </c>
      <c r="AI52" s="56"/>
      <c r="AJ52" s="56"/>
      <c r="AK52" s="47"/>
      <c r="AL52" s="23"/>
      <c r="AM52" s="24"/>
      <c r="AO52" s="126"/>
    </row>
    <row r="53" spans="2:94" ht="30" thickBot="1" x14ac:dyDescent="0.45">
      <c r="B53" s="244"/>
      <c r="C53" s="244"/>
      <c r="D53" s="273" t="s">
        <v>31</v>
      </c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310"/>
      <c r="AK53" s="47"/>
      <c r="AL53" s="23"/>
      <c r="AM53" s="24"/>
      <c r="AO53" s="126"/>
    </row>
    <row r="54" spans="2:94" ht="30" thickBot="1" x14ac:dyDescent="0.45">
      <c r="B54" s="244"/>
      <c r="C54" s="244"/>
      <c r="D54" s="12"/>
      <c r="E54" s="10"/>
      <c r="F54" s="1"/>
      <c r="G54" s="90" t="str">
        <f>(D133)</f>
        <v>Pre Separation Brief</v>
      </c>
      <c r="H54" s="1"/>
      <c r="I54" s="1"/>
      <c r="J54" s="1"/>
      <c r="K54" s="10"/>
      <c r="L54" s="10"/>
      <c r="M54" s="1"/>
      <c r="N54" s="90" t="str">
        <f>(D133)</f>
        <v>Pre Separation Brief</v>
      </c>
      <c r="O54" s="1"/>
      <c r="P54" s="253" t="str">
        <f>(D138)</f>
        <v>Education  2 Day Seminar</v>
      </c>
      <c r="Q54" s="254"/>
      <c r="R54" s="10"/>
      <c r="S54" s="75"/>
      <c r="T54" s="255" t="str">
        <f>(D134)</f>
        <v>Three-Day Transition Workshop</v>
      </c>
      <c r="U54" s="256"/>
      <c r="V54" s="256"/>
      <c r="W54" s="257" t="str">
        <f>(D137)</f>
        <v>Employment 2 Day Seminar</v>
      </c>
      <c r="X54" s="258"/>
      <c r="Y54" s="74"/>
      <c r="Z54" s="10"/>
      <c r="AA54" s="1"/>
      <c r="AB54" s="1"/>
      <c r="AC54" s="1"/>
      <c r="AD54" s="1"/>
      <c r="AE54" s="1"/>
      <c r="AF54" s="10"/>
      <c r="AG54" s="10"/>
      <c r="AH54" s="5"/>
      <c r="AK54" s="47"/>
      <c r="AL54" s="23"/>
      <c r="AM54" s="24"/>
      <c r="AO54" s="126"/>
    </row>
    <row r="55" spans="2:94" ht="30" thickBot="1" x14ac:dyDescent="0.45">
      <c r="B55" s="244"/>
      <c r="C55" s="244"/>
      <c r="D55" s="13"/>
      <c r="E55" s="11"/>
      <c r="F55" s="7"/>
      <c r="G55" s="7"/>
      <c r="H55" s="7"/>
      <c r="I55" s="7"/>
      <c r="J55" s="7"/>
      <c r="K55" s="11"/>
      <c r="L55" s="301" t="s">
        <v>106</v>
      </c>
      <c r="M55" s="302"/>
      <c r="N55" s="302"/>
      <c r="O55" s="302"/>
      <c r="P55" s="302"/>
      <c r="Q55" s="302"/>
      <c r="R55" s="303"/>
      <c r="S55" s="11"/>
      <c r="T55" s="73"/>
      <c r="U55" s="73"/>
      <c r="V55" s="87" t="str">
        <f>(D140)</f>
        <v>VA Individual Appointments</v>
      </c>
      <c r="W55" s="73"/>
      <c r="X55" s="73"/>
      <c r="Y55" s="11"/>
      <c r="Z55" s="11"/>
      <c r="AA55" s="7"/>
      <c r="AB55" s="7"/>
      <c r="AC55" s="7"/>
      <c r="AD55" s="7"/>
      <c r="AE55" s="7"/>
      <c r="AF55" s="11"/>
      <c r="AG55" s="11"/>
      <c r="AH55" s="8"/>
      <c r="AK55" s="47"/>
      <c r="AL55" s="23"/>
      <c r="AM55" s="29">
        <v>0</v>
      </c>
      <c r="AO55" s="126">
        <f>SUM(AO49-AM55)</f>
        <v>18</v>
      </c>
    </row>
    <row r="56" spans="2:94" ht="30" thickBot="1" x14ac:dyDescent="0.45">
      <c r="B56" s="244"/>
      <c r="C56" s="244"/>
      <c r="AK56" s="47"/>
      <c r="AL56" s="23"/>
      <c r="AM56" s="24"/>
      <c r="AO56" s="126"/>
    </row>
    <row r="57" spans="2:94" ht="29.25" x14ac:dyDescent="0.4">
      <c r="B57" s="244"/>
      <c r="C57" s="244"/>
      <c r="D57" s="194">
        <v>46266</v>
      </c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6"/>
      <c r="AJ57" s="164" t="s">
        <v>55</v>
      </c>
      <c r="AK57" s="47">
        <f>SUM(AK51+2.5-AM55)</f>
        <v>77</v>
      </c>
      <c r="AL57" s="23"/>
      <c r="AM57" s="24"/>
      <c r="AO57" s="126"/>
    </row>
    <row r="58" spans="2:94" ht="29.25" x14ac:dyDescent="0.4">
      <c r="B58" s="244"/>
      <c r="C58" s="244"/>
      <c r="D58" s="4">
        <v>1</v>
      </c>
      <c r="E58" s="1">
        <v>2</v>
      </c>
      <c r="F58" s="1">
        <v>3</v>
      </c>
      <c r="G58" s="1">
        <v>4</v>
      </c>
      <c r="H58" s="10">
        <v>5</v>
      </c>
      <c r="I58" s="10">
        <v>6</v>
      </c>
      <c r="J58" s="1">
        <v>7</v>
      </c>
      <c r="K58" s="1">
        <v>8</v>
      </c>
      <c r="L58" s="1">
        <v>9</v>
      </c>
      <c r="M58" s="1">
        <v>10</v>
      </c>
      <c r="N58" s="1">
        <v>11</v>
      </c>
      <c r="O58" s="10">
        <v>12</v>
      </c>
      <c r="P58" s="10">
        <v>13</v>
      </c>
      <c r="Q58" s="1">
        <v>14</v>
      </c>
      <c r="R58" s="1">
        <v>15</v>
      </c>
      <c r="S58" s="1">
        <v>16</v>
      </c>
      <c r="T58" s="1">
        <v>17</v>
      </c>
      <c r="U58" s="1">
        <v>18</v>
      </c>
      <c r="V58" s="10">
        <v>19</v>
      </c>
      <c r="W58" s="10">
        <v>20</v>
      </c>
      <c r="X58" s="1">
        <v>21</v>
      </c>
      <c r="Y58" s="1">
        <v>22</v>
      </c>
      <c r="Z58" s="1">
        <v>23</v>
      </c>
      <c r="AA58" s="1">
        <v>24</v>
      </c>
      <c r="AB58" s="1">
        <v>25</v>
      </c>
      <c r="AC58" s="10">
        <v>26</v>
      </c>
      <c r="AD58" s="10">
        <v>27</v>
      </c>
      <c r="AE58" s="1">
        <v>28</v>
      </c>
      <c r="AF58" s="1">
        <v>29</v>
      </c>
      <c r="AG58" s="1">
        <v>30</v>
      </c>
      <c r="AH58" s="5"/>
      <c r="AK58" s="47"/>
      <c r="AL58" s="23"/>
      <c r="AM58" s="24"/>
      <c r="AO58" s="126"/>
    </row>
    <row r="59" spans="2:94" ht="29.25" x14ac:dyDescent="0.4">
      <c r="B59" s="244"/>
      <c r="C59" s="244"/>
      <c r="D59" s="263" t="s">
        <v>103</v>
      </c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5" t="s">
        <v>5</v>
      </c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6"/>
      <c r="AH59" s="5"/>
      <c r="AI59" s="164">
        <v>13</v>
      </c>
      <c r="AK59" s="47"/>
      <c r="AL59" s="23"/>
      <c r="AM59" s="24"/>
      <c r="AO59" s="126"/>
    </row>
    <row r="60" spans="2:94" ht="30" thickBot="1" x14ac:dyDescent="0.45">
      <c r="B60" s="244"/>
      <c r="C60" s="244"/>
      <c r="D60" s="78"/>
      <c r="E60" s="78"/>
      <c r="F60" s="78"/>
      <c r="G60" s="78"/>
      <c r="H60" s="80"/>
      <c r="I60" s="80"/>
      <c r="J60" s="78"/>
      <c r="K60" s="95" t="str">
        <f>(D132)</f>
        <v>Initial Individual Counseling</v>
      </c>
      <c r="L60" s="96"/>
      <c r="M60" s="99"/>
      <c r="N60" s="99"/>
      <c r="O60" s="97"/>
      <c r="P60" s="85"/>
      <c r="Q60" s="288" t="str">
        <f>(D134)</f>
        <v>Three-Day Transition Workshop</v>
      </c>
      <c r="R60" s="289"/>
      <c r="S60" s="290"/>
      <c r="T60" s="304" t="str">
        <f>(D136)</f>
        <v>Career &amp; Credential Exploration 2 Day Seminar</v>
      </c>
      <c r="U60" s="305"/>
      <c r="V60" s="85"/>
      <c r="W60" s="85"/>
      <c r="X60" s="84"/>
      <c r="Y60" s="84"/>
      <c r="Z60" s="84"/>
      <c r="AA60" s="84"/>
      <c r="AB60" s="84"/>
      <c r="AC60" s="85"/>
      <c r="AD60" s="85"/>
      <c r="AE60" s="84"/>
      <c r="AF60" s="95" t="str">
        <f>(D132)</f>
        <v>Initial Individual Counseling</v>
      </c>
      <c r="AG60" s="84"/>
      <c r="AH60" s="147"/>
      <c r="AK60" s="47"/>
      <c r="AL60" s="23"/>
      <c r="AM60" s="27"/>
      <c r="AO60" s="126"/>
    </row>
    <row r="61" spans="2:94" ht="30" thickBot="1" x14ac:dyDescent="0.45">
      <c r="B61" s="244"/>
      <c r="C61" s="244"/>
      <c r="D61" s="72"/>
      <c r="E61" s="73"/>
      <c r="F61" s="73"/>
      <c r="G61" s="73"/>
      <c r="H61" s="79"/>
      <c r="I61" s="79"/>
      <c r="J61" s="142" t="s">
        <v>83</v>
      </c>
      <c r="K61" s="81"/>
      <c r="L61" s="81"/>
      <c r="M61" s="98"/>
      <c r="N61" s="98"/>
      <c r="O61" s="82"/>
      <c r="P61" s="82"/>
      <c r="Q61" s="81"/>
      <c r="R61" s="81"/>
      <c r="S61" s="88" t="str">
        <f>(D140)</f>
        <v>VA Individual Appointments</v>
      </c>
      <c r="T61" s="81"/>
      <c r="U61" s="81"/>
      <c r="V61" s="82"/>
      <c r="W61" s="82"/>
      <c r="X61" s="81"/>
      <c r="Y61" s="81"/>
      <c r="Z61" s="81"/>
      <c r="AA61" s="81"/>
      <c r="AB61" s="81"/>
      <c r="AC61" s="82"/>
      <c r="AD61" s="82"/>
      <c r="AE61" s="81"/>
      <c r="AF61" s="81"/>
      <c r="AG61" s="81"/>
      <c r="AH61" s="83"/>
      <c r="AK61" s="47"/>
      <c r="AL61" s="26"/>
      <c r="AM61" s="29">
        <v>18</v>
      </c>
      <c r="AO61" s="126">
        <f>SUM(AO55-AM61)</f>
        <v>0</v>
      </c>
    </row>
    <row r="62" spans="2:94" ht="15.75" thickBot="1" x14ac:dyDescent="0.25">
      <c r="B62" s="244"/>
      <c r="C62" s="244"/>
      <c r="AK62" s="47"/>
      <c r="AL62" s="23"/>
      <c r="AM62" s="28"/>
    </row>
    <row r="63" spans="2:94" x14ac:dyDescent="0.2">
      <c r="B63" s="244"/>
      <c r="C63" s="244"/>
      <c r="D63" s="194">
        <v>46296</v>
      </c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6"/>
      <c r="AJ63" s="164" t="s">
        <v>56</v>
      </c>
      <c r="AK63" s="47">
        <f>SUM(AK57+2.5-AM61)</f>
        <v>61.5</v>
      </c>
      <c r="AL63" s="23"/>
      <c r="AM63" s="24"/>
    </row>
    <row r="64" spans="2:94" x14ac:dyDescent="0.2">
      <c r="B64" s="244"/>
      <c r="C64" s="244"/>
      <c r="D64" s="4">
        <v>1</v>
      </c>
      <c r="E64" s="1">
        <v>2</v>
      </c>
      <c r="F64" s="10">
        <v>3</v>
      </c>
      <c r="G64" s="10">
        <v>4</v>
      </c>
      <c r="H64" s="1">
        <v>5</v>
      </c>
      <c r="I64" s="1">
        <v>6</v>
      </c>
      <c r="J64" s="1">
        <v>7</v>
      </c>
      <c r="K64" s="1">
        <v>8</v>
      </c>
      <c r="L64" s="1">
        <v>9</v>
      </c>
      <c r="M64" s="10">
        <v>10</v>
      </c>
      <c r="N64" s="10">
        <v>11</v>
      </c>
      <c r="O64" s="1">
        <v>12</v>
      </c>
      <c r="P64" s="1">
        <v>13</v>
      </c>
      <c r="Q64" s="1">
        <v>14</v>
      </c>
      <c r="R64" s="1">
        <v>15</v>
      </c>
      <c r="S64" s="1">
        <v>16</v>
      </c>
      <c r="T64" s="10">
        <v>17</v>
      </c>
      <c r="U64" s="10">
        <v>18</v>
      </c>
      <c r="V64" s="1">
        <v>19</v>
      </c>
      <c r="W64" s="1">
        <v>20</v>
      </c>
      <c r="X64" s="1">
        <v>21</v>
      </c>
      <c r="Y64" s="1">
        <v>22</v>
      </c>
      <c r="Z64" s="1">
        <v>23</v>
      </c>
      <c r="AA64" s="10">
        <v>24</v>
      </c>
      <c r="AB64" s="10">
        <v>25</v>
      </c>
      <c r="AC64" s="1">
        <v>26</v>
      </c>
      <c r="AD64" s="1">
        <v>27</v>
      </c>
      <c r="AE64" s="1">
        <v>28</v>
      </c>
      <c r="AF64" s="1">
        <v>29</v>
      </c>
      <c r="AG64" s="1">
        <v>30</v>
      </c>
      <c r="AH64" s="14">
        <v>31</v>
      </c>
      <c r="AI64" s="56"/>
      <c r="AJ64" s="56"/>
      <c r="AK64" s="47"/>
      <c r="AL64" s="23"/>
      <c r="AM64" s="24"/>
      <c r="BL64" s="262" t="s">
        <v>0</v>
      </c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</row>
    <row r="65" spans="1:94" ht="21.75" thickBot="1" x14ac:dyDescent="0.35">
      <c r="B65" s="244"/>
      <c r="C65" s="244"/>
      <c r="D65" s="201" t="s">
        <v>5</v>
      </c>
      <c r="E65" s="201"/>
      <c r="F65" s="201"/>
      <c r="G65" s="201"/>
      <c r="H65" s="307" t="s">
        <v>107</v>
      </c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265" t="s">
        <v>5</v>
      </c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310"/>
      <c r="AI65" s="56">
        <v>12</v>
      </c>
      <c r="AJ65" s="56"/>
      <c r="AK65" s="47"/>
      <c r="AL65" s="23"/>
      <c r="AM65" s="24"/>
      <c r="BL65">
        <v>1</v>
      </c>
      <c r="BM65">
        <v>2</v>
      </c>
      <c r="BN65">
        <v>3</v>
      </c>
      <c r="BO65">
        <v>4</v>
      </c>
      <c r="BP65">
        <v>5</v>
      </c>
      <c r="BQ65">
        <v>6</v>
      </c>
      <c r="BR65">
        <v>7</v>
      </c>
      <c r="BS65">
        <v>8</v>
      </c>
      <c r="BT65">
        <v>9</v>
      </c>
      <c r="BU65">
        <v>10</v>
      </c>
      <c r="BV65">
        <v>11</v>
      </c>
      <c r="BW65">
        <v>12</v>
      </c>
      <c r="BX65">
        <v>13</v>
      </c>
      <c r="BY65">
        <v>14</v>
      </c>
      <c r="BZ65">
        <v>15</v>
      </c>
      <c r="CA65">
        <v>16</v>
      </c>
      <c r="CB65">
        <v>17</v>
      </c>
      <c r="CC65">
        <v>18</v>
      </c>
      <c r="CD65">
        <v>19</v>
      </c>
      <c r="CE65">
        <v>20</v>
      </c>
      <c r="CF65">
        <v>21</v>
      </c>
      <c r="CG65">
        <v>22</v>
      </c>
      <c r="CH65">
        <v>23</v>
      </c>
      <c r="CI65">
        <v>24</v>
      </c>
      <c r="CJ65">
        <v>25</v>
      </c>
      <c r="CK65">
        <v>26</v>
      </c>
      <c r="CL65">
        <v>27</v>
      </c>
      <c r="CM65">
        <v>28</v>
      </c>
      <c r="CN65">
        <v>29</v>
      </c>
      <c r="CO65">
        <v>30</v>
      </c>
      <c r="CP65">
        <v>31</v>
      </c>
    </row>
    <row r="66" spans="1:94" ht="15.75" thickBot="1" x14ac:dyDescent="0.25">
      <c r="B66" s="244"/>
      <c r="C66" s="244"/>
      <c r="D66" s="4"/>
      <c r="E66" s="1"/>
      <c r="F66" s="10"/>
      <c r="G66" s="10"/>
      <c r="H66" s="250" t="str">
        <f>(D135)</f>
        <v>Entrepreneurship 2-Day Seminar</v>
      </c>
      <c r="I66" s="251"/>
      <c r="J66" s="1"/>
      <c r="K66" s="1"/>
      <c r="L66" s="1"/>
      <c r="M66" s="10"/>
      <c r="N66" s="10"/>
      <c r="O66" s="1"/>
      <c r="P66" s="1"/>
      <c r="Q66" s="1"/>
      <c r="R66" s="1"/>
      <c r="S66" s="1"/>
      <c r="T66" s="10"/>
      <c r="U66" s="10"/>
      <c r="V66" s="288" t="str">
        <f>(D134)</f>
        <v>Three-Day Transition Workshop</v>
      </c>
      <c r="W66" s="289"/>
      <c r="X66" s="290"/>
      <c r="Y66" s="257" t="str">
        <f>(D137)</f>
        <v>Employment 2 Day Seminar</v>
      </c>
      <c r="Z66" s="258"/>
      <c r="AA66" s="10"/>
      <c r="AB66" s="10"/>
      <c r="AC66" s="1"/>
      <c r="AD66" s="93" t="str">
        <f>(D133)</f>
        <v>Pre Separation Brief</v>
      </c>
      <c r="AE66" s="1"/>
      <c r="AF66" s="94" t="str">
        <f>(D138)</f>
        <v>Education  2 Day Seminar</v>
      </c>
      <c r="AG66" s="1"/>
      <c r="AH66" s="14"/>
      <c r="AK66" s="47"/>
      <c r="AL66" s="23"/>
      <c r="AM66" s="27"/>
    </row>
    <row r="67" spans="1:94" ht="15.75" thickBot="1" x14ac:dyDescent="0.25">
      <c r="B67" s="244"/>
      <c r="C67" s="244"/>
      <c r="D67" s="4"/>
      <c r="E67" s="1"/>
      <c r="F67" s="10"/>
      <c r="G67" s="10"/>
      <c r="H67" s="70" t="s">
        <v>89</v>
      </c>
      <c r="I67" s="1"/>
      <c r="J67" s="1"/>
      <c r="K67" s="1"/>
      <c r="L67" s="70" t="s">
        <v>29</v>
      </c>
      <c r="M67" s="10"/>
      <c r="N67" s="10"/>
      <c r="O67" s="141" t="s">
        <v>84</v>
      </c>
      <c r="P67" s="1"/>
      <c r="Q67" s="1"/>
      <c r="R67" s="1"/>
      <c r="S67" s="1"/>
      <c r="T67" s="10"/>
      <c r="U67" s="10"/>
      <c r="V67" s="1"/>
      <c r="W67" s="1"/>
      <c r="X67" s="88" t="str">
        <f>(D140)</f>
        <v>VA Individual Appointments</v>
      </c>
      <c r="Y67" s="1"/>
      <c r="Z67" s="1"/>
      <c r="AA67" s="10"/>
      <c r="AB67" s="10"/>
      <c r="AC67" s="1"/>
      <c r="AD67" s="1"/>
      <c r="AE67" s="1"/>
      <c r="AF67" s="1"/>
      <c r="AG67" s="1"/>
      <c r="AH67" s="15"/>
      <c r="AK67" s="47"/>
      <c r="AL67" s="26"/>
      <c r="AM67" s="29">
        <v>12</v>
      </c>
    </row>
    <row r="68" spans="1:94" ht="15.75" thickBot="1" x14ac:dyDescent="0.25">
      <c r="B68" s="244"/>
      <c r="C68" s="24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K68" s="47"/>
      <c r="AL68" s="23"/>
      <c r="AM68" s="28"/>
    </row>
    <row r="69" spans="1:94" ht="15.75" thickBot="1" x14ac:dyDescent="0.25">
      <c r="B69" s="244"/>
      <c r="C69" s="244"/>
      <c r="D69" s="190">
        <v>46327</v>
      </c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2"/>
      <c r="AG69" s="192"/>
      <c r="AH69" s="193"/>
      <c r="AJ69" s="164" t="s">
        <v>57</v>
      </c>
      <c r="AK69" s="47">
        <f>SUM(AK63+2.5-AM67)</f>
        <v>52</v>
      </c>
      <c r="AL69" s="23"/>
      <c r="AM69" s="24"/>
    </row>
    <row r="70" spans="1:94" ht="15.75" thickBot="1" x14ac:dyDescent="0.25">
      <c r="B70" s="244"/>
      <c r="C70" s="244"/>
      <c r="D70" s="120">
        <v>1</v>
      </c>
      <c r="E70" s="57">
        <v>2</v>
      </c>
      <c r="F70" s="57">
        <v>3</v>
      </c>
      <c r="G70" s="57">
        <v>4</v>
      </c>
      <c r="H70" s="57">
        <v>5</v>
      </c>
      <c r="I70" s="57">
        <v>6</v>
      </c>
      <c r="J70" s="58">
        <v>7</v>
      </c>
      <c r="K70" s="58">
        <v>8</v>
      </c>
      <c r="L70" s="57">
        <v>9</v>
      </c>
      <c r="M70" s="57">
        <v>10</v>
      </c>
      <c r="N70" s="57">
        <v>11</v>
      </c>
      <c r="O70" s="57">
        <v>12</v>
      </c>
      <c r="P70" s="57">
        <v>13</v>
      </c>
      <c r="Q70" s="58">
        <v>14</v>
      </c>
      <c r="R70" s="58">
        <v>15</v>
      </c>
      <c r="S70" s="57">
        <v>16</v>
      </c>
      <c r="T70" s="57">
        <v>17</v>
      </c>
      <c r="U70" s="57">
        <v>18</v>
      </c>
      <c r="V70" s="57">
        <v>19</v>
      </c>
      <c r="W70" s="57">
        <v>20</v>
      </c>
      <c r="X70" s="58">
        <v>21</v>
      </c>
      <c r="Y70" s="58">
        <v>22</v>
      </c>
      <c r="Z70" s="57">
        <v>23</v>
      </c>
      <c r="AA70" s="57">
        <v>24</v>
      </c>
      <c r="AB70" s="68">
        <v>25</v>
      </c>
      <c r="AC70" s="68">
        <v>26</v>
      </c>
      <c r="AD70" s="68">
        <v>27</v>
      </c>
      <c r="AE70" s="69">
        <v>28</v>
      </c>
      <c r="AF70" s="69">
        <v>29</v>
      </c>
      <c r="AG70" s="64">
        <v>30</v>
      </c>
      <c r="AH70" s="3"/>
      <c r="AI70" s="56"/>
      <c r="AJ70" s="56"/>
      <c r="AK70" s="47"/>
      <c r="AL70" s="23"/>
      <c r="AM70" s="24"/>
    </row>
    <row r="71" spans="1:94" ht="21.75" thickBot="1" x14ac:dyDescent="0.35">
      <c r="A71" s="67"/>
      <c r="B71" s="244"/>
      <c r="C71" s="244"/>
      <c r="D71" s="159" t="s">
        <v>5</v>
      </c>
      <c r="E71" s="359" t="s">
        <v>108</v>
      </c>
      <c r="F71" s="360"/>
      <c r="G71" s="360"/>
      <c r="H71" s="360"/>
      <c r="I71" s="361"/>
      <c r="J71" s="358" t="s">
        <v>17</v>
      </c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6"/>
      <c r="AH71" s="5"/>
      <c r="AI71" s="164">
        <v>13</v>
      </c>
      <c r="AK71" s="47"/>
      <c r="AL71" s="23"/>
      <c r="AM71" s="24"/>
    </row>
    <row r="72" spans="1:94" ht="15.75" thickBot="1" x14ac:dyDescent="0.25">
      <c r="B72" s="244"/>
      <c r="C72" s="244"/>
      <c r="D72" s="121"/>
      <c r="E72" s="59"/>
      <c r="F72" s="122" t="s">
        <v>18</v>
      </c>
      <c r="G72" s="59"/>
      <c r="H72" s="59"/>
      <c r="I72" s="59"/>
      <c r="J72" s="60"/>
      <c r="K72" s="60"/>
      <c r="L72" s="59"/>
      <c r="M72" s="59"/>
      <c r="N72" s="59"/>
      <c r="O72" s="298" t="str">
        <f>(D136)</f>
        <v>Career &amp; Credential Exploration 2 Day Seminar</v>
      </c>
      <c r="P72" s="299"/>
      <c r="Q72" s="60"/>
      <c r="R72" s="60"/>
      <c r="S72" s="295" t="str">
        <f>(D134)</f>
        <v>Three-Day Transition Workshop</v>
      </c>
      <c r="T72" s="296"/>
      <c r="U72" s="297"/>
      <c r="V72" s="280" t="str">
        <f>(D137)</f>
        <v>Employment 2 Day Seminar</v>
      </c>
      <c r="W72" s="281"/>
      <c r="X72" s="60"/>
      <c r="Y72" s="60"/>
      <c r="Z72" s="282" t="s">
        <v>80</v>
      </c>
      <c r="AA72" s="283"/>
      <c r="AB72" s="283"/>
      <c r="AC72" s="283"/>
      <c r="AD72" s="300"/>
      <c r="AE72" s="60"/>
      <c r="AF72" s="60"/>
      <c r="AG72" s="1"/>
      <c r="AH72" s="5"/>
      <c r="AK72" s="47"/>
      <c r="AL72" s="23"/>
      <c r="AM72" s="27"/>
    </row>
    <row r="73" spans="1:94" ht="15.75" thickBot="1" x14ac:dyDescent="0.25">
      <c r="B73" s="244"/>
      <c r="C73" s="244"/>
      <c r="D73" s="13"/>
      <c r="E73" s="7"/>
      <c r="F73" s="92" t="str">
        <f>(D133)</f>
        <v>Pre Separation Brief</v>
      </c>
      <c r="G73" s="7"/>
      <c r="H73" s="7"/>
      <c r="I73" s="7"/>
      <c r="J73" s="11"/>
      <c r="K73" s="11"/>
      <c r="L73" s="7"/>
      <c r="M73" s="143" t="s">
        <v>111</v>
      </c>
      <c r="N73" s="143" t="s">
        <v>85</v>
      </c>
      <c r="O73" s="7"/>
      <c r="P73" s="7"/>
      <c r="Q73" s="11"/>
      <c r="R73" s="11"/>
      <c r="S73" s="7"/>
      <c r="T73" s="7"/>
      <c r="U73" s="89" t="str">
        <f>(D140)</f>
        <v>VA Individual Appointments</v>
      </c>
      <c r="V73" s="7"/>
      <c r="W73" s="7"/>
      <c r="X73" s="11"/>
      <c r="Y73" s="11"/>
      <c r="Z73" s="7"/>
      <c r="AA73" s="123" t="str">
        <f>(D133)</f>
        <v>Pre Separation Brief</v>
      </c>
      <c r="AB73" s="7"/>
      <c r="AC73" s="211" t="s">
        <v>2</v>
      </c>
      <c r="AD73" s="212"/>
      <c r="AE73" s="11"/>
      <c r="AF73" s="11"/>
      <c r="AG73" s="7"/>
      <c r="AH73" s="8"/>
      <c r="AK73" s="47"/>
      <c r="AL73" s="26"/>
      <c r="AM73" s="29">
        <v>5</v>
      </c>
    </row>
    <row r="74" spans="1:94" ht="15.75" thickBot="1" x14ac:dyDescent="0.25">
      <c r="B74" s="244"/>
      <c r="C74" s="24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K74" s="47"/>
      <c r="AL74" s="23"/>
      <c r="AM74" s="28"/>
    </row>
    <row r="75" spans="1:94" x14ac:dyDescent="0.2">
      <c r="B75" s="244"/>
      <c r="C75" s="244"/>
      <c r="D75" s="217">
        <v>46357</v>
      </c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9"/>
      <c r="AG75" s="219"/>
      <c r="AH75" s="220"/>
      <c r="AJ75" s="164" t="s">
        <v>58</v>
      </c>
      <c r="AK75" s="47">
        <f>SUM(AK69+2.5-AM73)</f>
        <v>49.5</v>
      </c>
      <c r="AL75" s="23"/>
      <c r="AM75" s="24"/>
    </row>
    <row r="76" spans="1:94" ht="15.75" thickBot="1" x14ac:dyDescent="0.25">
      <c r="B76" s="244"/>
      <c r="C76" s="244"/>
      <c r="D76" s="61">
        <v>1</v>
      </c>
      <c r="E76" s="62">
        <v>2</v>
      </c>
      <c r="F76" s="62">
        <v>3</v>
      </c>
      <c r="G76" s="62">
        <v>4</v>
      </c>
      <c r="H76" s="63">
        <v>5</v>
      </c>
      <c r="I76" s="63">
        <v>6</v>
      </c>
      <c r="J76" s="62">
        <v>7</v>
      </c>
      <c r="K76" s="62">
        <v>8</v>
      </c>
      <c r="L76" s="62">
        <v>9</v>
      </c>
      <c r="M76" s="62">
        <v>10</v>
      </c>
      <c r="N76" s="62">
        <v>11</v>
      </c>
      <c r="O76" s="63">
        <v>12</v>
      </c>
      <c r="P76" s="63">
        <v>13</v>
      </c>
      <c r="Q76" s="62">
        <v>14</v>
      </c>
      <c r="R76" s="62">
        <v>15</v>
      </c>
      <c r="S76" s="62">
        <v>16</v>
      </c>
      <c r="T76" s="62">
        <v>17</v>
      </c>
      <c r="U76" s="62">
        <v>18</v>
      </c>
      <c r="V76" s="63">
        <v>19</v>
      </c>
      <c r="W76" s="63">
        <v>20</v>
      </c>
      <c r="X76" s="62">
        <v>21</v>
      </c>
      <c r="Y76" s="62">
        <v>22</v>
      </c>
      <c r="Z76" s="62">
        <v>23</v>
      </c>
      <c r="AA76" s="62">
        <v>24</v>
      </c>
      <c r="AB76" s="62">
        <v>25</v>
      </c>
      <c r="AC76" s="63">
        <v>26</v>
      </c>
      <c r="AD76" s="63">
        <v>27</v>
      </c>
      <c r="AE76" s="62">
        <v>28</v>
      </c>
      <c r="AF76" s="62">
        <v>29</v>
      </c>
      <c r="AG76" s="62">
        <v>30</v>
      </c>
      <c r="AH76" s="62">
        <v>31</v>
      </c>
      <c r="AK76" s="47"/>
      <c r="AL76" s="23"/>
      <c r="AM76" s="24"/>
    </row>
    <row r="77" spans="1:94" ht="21.75" thickBot="1" x14ac:dyDescent="0.35">
      <c r="B77" s="244"/>
      <c r="C77" s="244"/>
      <c r="D77" s="285" t="s">
        <v>64</v>
      </c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  <c r="W77" s="286"/>
      <c r="X77" s="285" t="s">
        <v>33</v>
      </c>
      <c r="Y77" s="286"/>
      <c r="Z77" s="286"/>
      <c r="AA77" s="286"/>
      <c r="AB77" s="286"/>
      <c r="AC77" s="286"/>
      <c r="AD77" s="286"/>
      <c r="AE77" s="286"/>
      <c r="AF77" s="286"/>
      <c r="AG77" s="286"/>
      <c r="AH77" s="287"/>
      <c r="AI77" s="164">
        <v>20</v>
      </c>
      <c r="AK77" s="47"/>
      <c r="AL77" s="23"/>
      <c r="AM77" s="24"/>
    </row>
    <row r="78" spans="1:94" ht="15.75" thickBot="1" x14ac:dyDescent="0.25">
      <c r="B78" s="244"/>
      <c r="C78" s="244"/>
      <c r="D78" s="137" t="str">
        <f>(D133)</f>
        <v>Pre Separation Brief</v>
      </c>
      <c r="E78" s="59"/>
      <c r="F78" s="59"/>
      <c r="G78" s="59"/>
      <c r="H78" s="60"/>
      <c r="I78" s="60"/>
      <c r="J78" s="295" t="str">
        <f>(D134)</f>
        <v>Three-Day Transition Workshop</v>
      </c>
      <c r="K78" s="296"/>
      <c r="L78" s="297"/>
      <c r="M78" s="280" t="str">
        <f>(D137)</f>
        <v>Employment 2 Day Seminar</v>
      </c>
      <c r="N78" s="281"/>
      <c r="O78" s="60"/>
      <c r="P78" s="60"/>
      <c r="Q78" s="59"/>
      <c r="R78" s="138"/>
      <c r="S78" s="59"/>
      <c r="T78" s="59"/>
      <c r="U78" s="59"/>
      <c r="V78" s="60"/>
      <c r="W78" s="60"/>
      <c r="X78" s="282" t="s">
        <v>80</v>
      </c>
      <c r="Y78" s="283"/>
      <c r="Z78" s="283"/>
      <c r="AA78" s="283"/>
      <c r="AB78" s="283"/>
      <c r="AC78" s="283"/>
      <c r="AD78" s="283"/>
      <c r="AE78" s="283"/>
      <c r="AF78" s="283"/>
      <c r="AG78" s="283"/>
      <c r="AH78" s="284"/>
      <c r="AK78" s="47"/>
      <c r="AL78" s="23"/>
      <c r="AM78" s="27"/>
    </row>
    <row r="79" spans="1:94" ht="15.75" thickBot="1" x14ac:dyDescent="0.25">
      <c r="B79" s="244"/>
      <c r="C79" s="244"/>
      <c r="D79" s="6"/>
      <c r="E79" s="7"/>
      <c r="F79" s="7"/>
      <c r="G79" s="7"/>
      <c r="H79" s="11"/>
      <c r="I79" s="11"/>
      <c r="J79" s="7"/>
      <c r="K79" s="7"/>
      <c r="L79" s="89" t="str">
        <f>(D140)</f>
        <v>VA Individual Appointments</v>
      </c>
      <c r="M79" s="7"/>
      <c r="N79" s="7"/>
      <c r="O79" s="11"/>
      <c r="P79" s="11"/>
      <c r="Q79" s="7"/>
      <c r="R79" s="90" t="str">
        <f>(D133)</f>
        <v>Pre Separation Brief</v>
      </c>
      <c r="S79" s="7"/>
      <c r="T79" s="7"/>
      <c r="U79" s="7"/>
      <c r="V79" s="11"/>
      <c r="W79" s="11"/>
      <c r="X79" s="7"/>
      <c r="Y79" s="7"/>
      <c r="Z79" s="7"/>
      <c r="AA79" s="22" t="s">
        <v>3</v>
      </c>
      <c r="AB79" s="22" t="s">
        <v>3</v>
      </c>
      <c r="AC79" s="11"/>
      <c r="AD79" s="11"/>
      <c r="AE79" s="7"/>
      <c r="AF79" s="7"/>
      <c r="AG79" s="7"/>
      <c r="AH79" s="22" t="s">
        <v>3</v>
      </c>
      <c r="AK79" s="47"/>
      <c r="AL79" s="26"/>
      <c r="AM79" s="29">
        <v>0</v>
      </c>
    </row>
    <row r="80" spans="1:94" ht="15.75" thickBot="1" x14ac:dyDescent="0.25">
      <c r="B80" s="244"/>
      <c r="C80" s="24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K80" s="47"/>
      <c r="AL80" s="23"/>
      <c r="AM80" s="28"/>
    </row>
    <row r="81" spans="2:39" ht="24.75" x14ac:dyDescent="0.35">
      <c r="B81" s="244"/>
      <c r="C81" s="244"/>
      <c r="D81" s="194">
        <v>46388</v>
      </c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6"/>
      <c r="AI81" s="140"/>
      <c r="AJ81" s="164" t="s">
        <v>59</v>
      </c>
      <c r="AK81" s="47">
        <f>SUM(AK75+2.5-AM79)</f>
        <v>52</v>
      </c>
      <c r="AL81" s="23"/>
      <c r="AM81" s="24"/>
    </row>
    <row r="82" spans="2:39" x14ac:dyDescent="0.2">
      <c r="B82" s="244"/>
      <c r="C82" s="244"/>
      <c r="D82" s="4">
        <v>1</v>
      </c>
      <c r="E82" s="10">
        <v>2</v>
      </c>
      <c r="F82" s="10">
        <v>3</v>
      </c>
      <c r="G82" s="1">
        <v>4</v>
      </c>
      <c r="H82" s="1">
        <v>5</v>
      </c>
      <c r="I82" s="1">
        <v>6</v>
      </c>
      <c r="J82" s="1">
        <v>7</v>
      </c>
      <c r="K82" s="1">
        <v>8</v>
      </c>
      <c r="L82" s="10">
        <v>9</v>
      </c>
      <c r="M82" s="10">
        <v>10</v>
      </c>
      <c r="N82" s="1">
        <v>11</v>
      </c>
      <c r="O82" s="1">
        <v>12</v>
      </c>
      <c r="P82" s="1">
        <v>13</v>
      </c>
      <c r="Q82" s="1">
        <v>14</v>
      </c>
      <c r="R82" s="1">
        <v>15</v>
      </c>
      <c r="S82" s="10">
        <v>16</v>
      </c>
      <c r="T82" s="10">
        <v>17</v>
      </c>
      <c r="U82" s="1">
        <v>18</v>
      </c>
      <c r="V82" s="1">
        <v>19</v>
      </c>
      <c r="W82" s="1">
        <v>20</v>
      </c>
      <c r="X82" s="1">
        <v>21</v>
      </c>
      <c r="Y82" s="1">
        <v>22</v>
      </c>
      <c r="Z82" s="10">
        <v>23</v>
      </c>
      <c r="AA82" s="10">
        <v>24</v>
      </c>
      <c r="AB82" s="1">
        <v>25</v>
      </c>
      <c r="AC82" s="1">
        <v>26</v>
      </c>
      <c r="AD82" s="1">
        <v>27</v>
      </c>
      <c r="AE82" s="1">
        <v>28</v>
      </c>
      <c r="AF82" s="1">
        <v>29</v>
      </c>
      <c r="AG82" s="10">
        <v>30</v>
      </c>
      <c r="AH82" s="40">
        <v>31</v>
      </c>
      <c r="AI82" s="164" t="s">
        <v>86</v>
      </c>
      <c r="AK82" s="47"/>
      <c r="AL82" s="23"/>
      <c r="AM82" s="24"/>
    </row>
    <row r="83" spans="2:39" ht="24.75" x14ac:dyDescent="0.35">
      <c r="B83" s="244"/>
      <c r="C83" s="244"/>
      <c r="D83" s="223" t="s">
        <v>35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  <c r="AD83" s="224"/>
      <c r="AE83" s="224"/>
      <c r="AF83" s="225"/>
      <c r="AG83" s="292" t="s">
        <v>133</v>
      </c>
      <c r="AH83" s="294"/>
      <c r="AI83" s="140">
        <f>SUM(AI55:AI82)</f>
        <v>58</v>
      </c>
      <c r="AK83" s="47"/>
      <c r="AL83" s="23"/>
      <c r="AM83" s="24"/>
    </row>
    <row r="84" spans="2:39" ht="15.75" thickBot="1" x14ac:dyDescent="0.25">
      <c r="B84" s="244"/>
      <c r="C84" s="244"/>
      <c r="D84" s="4"/>
      <c r="E84" s="10"/>
      <c r="F84" s="10"/>
      <c r="G84" s="1"/>
      <c r="H84" s="1"/>
      <c r="I84" s="1"/>
      <c r="J84" s="1"/>
      <c r="K84" s="1"/>
      <c r="L84" s="10"/>
      <c r="M84" s="10"/>
      <c r="N84" s="1"/>
      <c r="O84" s="1"/>
      <c r="P84" s="1"/>
      <c r="Q84" s="1"/>
      <c r="R84" s="1"/>
      <c r="S84" s="10"/>
      <c r="T84" s="10"/>
      <c r="U84" s="1"/>
      <c r="V84" s="1"/>
      <c r="W84" s="1"/>
      <c r="X84" s="1"/>
      <c r="Y84" s="1"/>
      <c r="Z84" s="10"/>
      <c r="AA84" s="10"/>
      <c r="AB84" s="1"/>
      <c r="AC84" s="1"/>
      <c r="AD84" s="1"/>
      <c r="AE84" s="1"/>
      <c r="AF84" s="1"/>
      <c r="AG84" s="10"/>
      <c r="AH84" s="40"/>
      <c r="AK84" s="47"/>
      <c r="AL84" s="23"/>
      <c r="AM84" s="27"/>
    </row>
    <row r="85" spans="2:39" ht="25.5" thickBot="1" x14ac:dyDescent="0.4">
      <c r="B85" s="244"/>
      <c r="C85" s="244"/>
      <c r="D85" s="21" t="s">
        <v>2</v>
      </c>
      <c r="E85" s="10"/>
      <c r="F85" s="10"/>
      <c r="G85" s="1"/>
      <c r="H85" s="1"/>
      <c r="I85" s="1"/>
      <c r="J85" s="1"/>
      <c r="K85" s="1"/>
      <c r="L85" s="10"/>
      <c r="M85" s="10"/>
      <c r="N85" s="1"/>
      <c r="O85" s="1"/>
      <c r="P85" s="1"/>
      <c r="Q85" s="1"/>
      <c r="R85" s="1"/>
      <c r="S85" s="10"/>
      <c r="T85" s="10"/>
      <c r="U85" s="141" t="s">
        <v>81</v>
      </c>
      <c r="V85" s="1"/>
      <c r="W85" s="1"/>
      <c r="X85" s="1"/>
      <c r="Y85" s="1"/>
      <c r="Z85" s="10"/>
      <c r="AA85" s="10"/>
      <c r="AB85" s="1"/>
      <c r="AC85" s="1"/>
      <c r="AD85" s="1"/>
      <c r="AE85" s="1"/>
      <c r="AF85" s="1"/>
      <c r="AG85" s="10"/>
      <c r="AH85" s="40"/>
      <c r="AI85" s="140"/>
      <c r="AK85" s="47"/>
      <c r="AL85" s="26"/>
      <c r="AM85" s="29">
        <v>0</v>
      </c>
    </row>
    <row r="86" spans="2:39" ht="25.5" thickBot="1" x14ac:dyDescent="0.4">
      <c r="B86" s="244"/>
      <c r="C86" s="244"/>
      <c r="AI86" s="140" t="s">
        <v>87</v>
      </c>
      <c r="AK86" s="47"/>
      <c r="AL86" s="23"/>
      <c r="AM86" s="28"/>
    </row>
    <row r="87" spans="2:39" ht="24.75" x14ac:dyDescent="0.35">
      <c r="B87" s="244"/>
      <c r="C87" s="244"/>
      <c r="D87" s="194">
        <v>46419</v>
      </c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6"/>
      <c r="AI87" s="140">
        <f>AK117</f>
        <v>31</v>
      </c>
      <c r="AJ87" s="164" t="s">
        <v>60</v>
      </c>
      <c r="AK87" s="47">
        <f>SUM(AK81+2.5-AM85)</f>
        <v>54.5</v>
      </c>
      <c r="AL87" s="23"/>
      <c r="AM87" s="24"/>
    </row>
    <row r="88" spans="2:39" x14ac:dyDescent="0.2">
      <c r="B88" s="244"/>
      <c r="C88" s="244"/>
      <c r="D88" s="4">
        <v>1</v>
      </c>
      <c r="E88" s="1">
        <v>2</v>
      </c>
      <c r="F88" s="1">
        <v>3</v>
      </c>
      <c r="G88" s="1">
        <v>4</v>
      </c>
      <c r="H88" s="1">
        <v>5</v>
      </c>
      <c r="I88" s="38">
        <v>6</v>
      </c>
      <c r="J88" s="38">
        <v>7</v>
      </c>
      <c r="K88" s="1">
        <v>8</v>
      </c>
      <c r="L88" s="1">
        <v>9</v>
      </c>
      <c r="M88" s="1">
        <v>10</v>
      </c>
      <c r="N88" s="1">
        <v>11</v>
      </c>
      <c r="O88" s="1">
        <v>12</v>
      </c>
      <c r="P88" s="38">
        <v>13</v>
      </c>
      <c r="Q88" s="38">
        <v>14</v>
      </c>
      <c r="R88" s="1">
        <v>15</v>
      </c>
      <c r="S88" s="1">
        <v>16</v>
      </c>
      <c r="T88" s="1">
        <v>17</v>
      </c>
      <c r="U88" s="1">
        <v>18</v>
      </c>
      <c r="V88" s="1">
        <v>19</v>
      </c>
      <c r="W88" s="38">
        <v>20</v>
      </c>
      <c r="X88" s="38">
        <v>21</v>
      </c>
      <c r="Y88" s="1">
        <v>22</v>
      </c>
      <c r="Z88" s="1">
        <v>23</v>
      </c>
      <c r="AA88" s="62">
        <v>24</v>
      </c>
      <c r="AB88" s="62">
        <v>25</v>
      </c>
      <c r="AC88" s="62">
        <v>26</v>
      </c>
      <c r="AD88" s="103">
        <v>27</v>
      </c>
      <c r="AE88" s="103">
        <v>28</v>
      </c>
      <c r="AF88" s="1"/>
      <c r="AG88" s="1"/>
      <c r="AH88" s="5"/>
      <c r="AK88" s="47"/>
      <c r="AL88" s="23"/>
      <c r="AM88" s="24"/>
    </row>
    <row r="89" spans="2:39" x14ac:dyDescent="0.2">
      <c r="B89" s="244"/>
      <c r="C89" s="244"/>
      <c r="D89" s="365" t="s">
        <v>132</v>
      </c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  <c r="Z89" s="312"/>
      <c r="AA89" s="312"/>
      <c r="AB89" s="312"/>
      <c r="AC89" s="312"/>
      <c r="AD89" s="312"/>
      <c r="AE89" s="366"/>
      <c r="AF89" s="102"/>
      <c r="AG89" s="1"/>
      <c r="AH89" s="5"/>
      <c r="AK89" s="47"/>
      <c r="AL89" s="23"/>
      <c r="AM89" s="24"/>
    </row>
    <row r="90" spans="2:39" ht="15.75" thickBot="1" x14ac:dyDescent="0.25">
      <c r="B90" s="244"/>
      <c r="C90" s="244"/>
      <c r="D90" s="4"/>
      <c r="E90" s="1"/>
      <c r="F90" s="1"/>
      <c r="G90" s="1"/>
      <c r="H90" s="1"/>
      <c r="I90" s="38"/>
      <c r="J90" s="38"/>
      <c r="K90" s="1"/>
      <c r="L90" s="1"/>
      <c r="M90" s="1"/>
      <c r="N90" s="1"/>
      <c r="O90" s="1"/>
      <c r="P90" s="38"/>
      <c r="Q90" s="38"/>
      <c r="R90" s="1"/>
      <c r="S90" s="1"/>
      <c r="T90" s="1"/>
      <c r="U90" s="1"/>
      <c r="V90" s="1"/>
      <c r="W90" s="38"/>
      <c r="X90" s="38"/>
      <c r="Y90" s="1"/>
      <c r="Z90" s="1"/>
      <c r="AA90" s="59"/>
      <c r="AB90" s="59"/>
      <c r="AC90" s="59"/>
      <c r="AD90" s="104"/>
      <c r="AE90" s="104"/>
      <c r="AF90" s="1"/>
      <c r="AG90" s="1"/>
      <c r="AH90" s="5"/>
      <c r="AK90" s="47"/>
      <c r="AL90" s="23"/>
      <c r="AM90" s="27"/>
    </row>
    <row r="91" spans="2:39" ht="15.75" thickBot="1" x14ac:dyDescent="0.25">
      <c r="B91" s="244"/>
      <c r="C91" s="244"/>
      <c r="D91" s="4"/>
      <c r="E91" s="1"/>
      <c r="F91" s="1"/>
      <c r="G91" s="1"/>
      <c r="H91" s="1"/>
      <c r="I91" s="38"/>
      <c r="J91" s="38"/>
      <c r="K91" s="22" t="s">
        <v>9</v>
      </c>
      <c r="L91" s="1"/>
      <c r="M91" s="1"/>
      <c r="N91" s="1"/>
      <c r="O91" s="1"/>
      <c r="P91" s="38"/>
      <c r="Q91" s="38"/>
      <c r="R91" s="141" t="s">
        <v>82</v>
      </c>
      <c r="S91" s="1"/>
      <c r="T91" s="1"/>
      <c r="U91" s="1"/>
      <c r="V91" s="1"/>
      <c r="W91" s="38"/>
      <c r="X91" s="38"/>
      <c r="Y91" s="1"/>
      <c r="Z91" s="1"/>
      <c r="AA91" s="1"/>
      <c r="AB91" s="1"/>
      <c r="AC91" s="1"/>
      <c r="AD91" s="38"/>
      <c r="AE91" s="38"/>
      <c r="AF91" s="1"/>
      <c r="AG91" s="1"/>
      <c r="AH91" s="5"/>
      <c r="AK91" s="47"/>
      <c r="AL91" s="26"/>
      <c r="AM91" s="29">
        <v>0</v>
      </c>
    </row>
    <row r="92" spans="2:39" ht="25.5" thickBot="1" x14ac:dyDescent="0.4">
      <c r="B92" s="244"/>
      <c r="C92" s="24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140"/>
      <c r="AK92" s="47"/>
      <c r="AL92" s="23"/>
      <c r="AM92" s="28"/>
    </row>
    <row r="93" spans="2:39" x14ac:dyDescent="0.2">
      <c r="B93" s="244"/>
      <c r="C93" s="244"/>
      <c r="D93" s="194">
        <v>46447</v>
      </c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6"/>
      <c r="AJ93" s="164" t="s">
        <v>61</v>
      </c>
      <c r="AK93" s="47">
        <f>SUM(AK87+2.5-AM91)</f>
        <v>57</v>
      </c>
      <c r="AL93" s="23"/>
      <c r="AM93" s="24"/>
    </row>
    <row r="94" spans="2:39" x14ac:dyDescent="0.2">
      <c r="B94" s="244"/>
      <c r="C94" s="244"/>
      <c r="D94" s="4">
        <v>1</v>
      </c>
      <c r="E94" s="1">
        <v>2</v>
      </c>
      <c r="F94" s="1">
        <v>3</v>
      </c>
      <c r="G94" s="1">
        <v>4</v>
      </c>
      <c r="H94" s="1">
        <v>5</v>
      </c>
      <c r="I94" s="10">
        <v>6</v>
      </c>
      <c r="J94" s="10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0">
        <v>13</v>
      </c>
      <c r="Q94" s="10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0">
        <v>20</v>
      </c>
      <c r="X94" s="10">
        <v>21</v>
      </c>
      <c r="Y94" s="1">
        <v>22</v>
      </c>
      <c r="Z94" s="1">
        <v>23</v>
      </c>
      <c r="AA94" s="1">
        <v>24</v>
      </c>
      <c r="AB94" s="1">
        <v>25</v>
      </c>
      <c r="AC94" s="1">
        <v>26</v>
      </c>
      <c r="AD94" s="10">
        <v>27</v>
      </c>
      <c r="AE94" s="10">
        <v>28</v>
      </c>
      <c r="AF94" s="1">
        <v>29</v>
      </c>
      <c r="AG94" s="1">
        <v>30</v>
      </c>
      <c r="AH94" s="5">
        <v>31</v>
      </c>
      <c r="AK94" s="47"/>
      <c r="AL94" s="23"/>
      <c r="AM94" s="24"/>
    </row>
    <row r="95" spans="2:39" ht="15.75" thickBot="1" x14ac:dyDescent="0.25">
      <c r="B95" s="244"/>
      <c r="C95" s="244"/>
      <c r="D95" s="274" t="s">
        <v>68</v>
      </c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  <c r="AB95" s="275"/>
      <c r="AC95" s="275"/>
      <c r="AD95" s="275"/>
      <c r="AE95" s="275"/>
      <c r="AF95" s="275"/>
      <c r="AG95" s="275"/>
      <c r="AH95" s="276"/>
      <c r="AK95" s="47"/>
      <c r="AL95" s="23"/>
      <c r="AM95" s="24"/>
    </row>
    <row r="96" spans="2:39" ht="15.75" thickBot="1" x14ac:dyDescent="0.25">
      <c r="B96" s="244"/>
      <c r="C96" s="244"/>
      <c r="D96" s="4"/>
      <c r="E96" s="1"/>
      <c r="F96" s="1"/>
      <c r="G96" s="1"/>
      <c r="H96" s="1"/>
      <c r="I96" s="10"/>
      <c r="J96" s="10"/>
      <c r="K96" s="1"/>
      <c r="L96" s="1"/>
      <c r="M96" s="1"/>
      <c r="N96" s="1"/>
      <c r="O96" s="1"/>
      <c r="P96" s="10"/>
      <c r="Q96" s="10"/>
      <c r="R96" s="1"/>
      <c r="S96" s="1"/>
      <c r="T96" s="1"/>
      <c r="U96" s="1"/>
      <c r="V96" s="1"/>
      <c r="W96" s="10"/>
      <c r="X96" s="10"/>
      <c r="Y96" s="1"/>
      <c r="Z96" s="1"/>
      <c r="AA96" s="1"/>
      <c r="AB96" s="1"/>
      <c r="AC96" s="1"/>
      <c r="AD96" s="10"/>
      <c r="AE96" s="10"/>
      <c r="AF96" s="1"/>
      <c r="AG96" s="1"/>
      <c r="AH96" s="5"/>
      <c r="AK96" s="47"/>
      <c r="AL96" s="23"/>
      <c r="AM96" s="27"/>
    </row>
    <row r="97" spans="2:39" ht="15.75" thickBot="1" x14ac:dyDescent="0.25">
      <c r="B97" s="244"/>
      <c r="C97" s="244"/>
      <c r="D97" s="4"/>
      <c r="E97" s="1"/>
      <c r="F97" s="1"/>
      <c r="G97" s="1"/>
      <c r="H97" s="1"/>
      <c r="I97" s="10"/>
      <c r="J97" s="10"/>
      <c r="K97" s="1"/>
      <c r="L97" s="1"/>
      <c r="M97" s="1"/>
      <c r="N97" s="1"/>
      <c r="O97" s="1"/>
      <c r="P97" s="10"/>
      <c r="Q97" s="10"/>
      <c r="R97" s="1"/>
      <c r="S97" s="1"/>
      <c r="T97" s="1"/>
      <c r="U97" s="1"/>
      <c r="V97" s="1"/>
      <c r="W97" s="10"/>
      <c r="X97" s="10"/>
      <c r="Y97" s="1"/>
      <c r="Z97" s="1"/>
      <c r="AA97" s="1"/>
      <c r="AB97" s="1"/>
      <c r="AC97" s="1"/>
      <c r="AD97" s="10"/>
      <c r="AE97" s="10"/>
      <c r="AF97" s="1"/>
      <c r="AG97" s="1"/>
      <c r="AH97" s="5"/>
      <c r="AK97" s="47"/>
      <c r="AL97" s="26"/>
      <c r="AM97" s="29">
        <v>0</v>
      </c>
    </row>
    <row r="98" spans="2:39" ht="15.75" thickBot="1" x14ac:dyDescent="0.25">
      <c r="B98" s="244"/>
      <c r="C98" s="244"/>
      <c r="AK98" s="47"/>
      <c r="AL98" s="23"/>
      <c r="AM98" s="28"/>
    </row>
    <row r="99" spans="2:39" x14ac:dyDescent="0.2">
      <c r="B99" s="244"/>
      <c r="C99" s="244"/>
      <c r="D99" s="194">
        <v>46478</v>
      </c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6"/>
      <c r="AJ99" s="164" t="s">
        <v>62</v>
      </c>
      <c r="AK99" s="47">
        <f>SUM(AK93+2.5-AM97)</f>
        <v>59.5</v>
      </c>
      <c r="AL99" s="23"/>
      <c r="AM99" s="24"/>
    </row>
    <row r="100" spans="2:39" x14ac:dyDescent="0.2">
      <c r="B100" s="244"/>
      <c r="C100" s="244"/>
      <c r="D100" s="4">
        <v>1</v>
      </c>
      <c r="E100" s="1">
        <v>2</v>
      </c>
      <c r="F100" s="10">
        <v>3</v>
      </c>
      <c r="G100" s="10">
        <v>4</v>
      </c>
      <c r="H100" s="1">
        <v>5</v>
      </c>
      <c r="I100" s="1">
        <v>6</v>
      </c>
      <c r="J100" s="1">
        <v>7</v>
      </c>
      <c r="K100" s="1">
        <v>8</v>
      </c>
      <c r="L100" s="1">
        <v>9</v>
      </c>
      <c r="M100" s="10">
        <v>10</v>
      </c>
      <c r="N100" s="10">
        <v>11</v>
      </c>
      <c r="O100" s="1">
        <v>12</v>
      </c>
      <c r="P100" s="1">
        <v>13</v>
      </c>
      <c r="Q100" s="1">
        <v>14</v>
      </c>
      <c r="R100" s="1">
        <v>15</v>
      </c>
      <c r="S100" s="1">
        <v>16</v>
      </c>
      <c r="T100" s="10">
        <v>17</v>
      </c>
      <c r="U100" s="10">
        <v>18</v>
      </c>
      <c r="V100" s="1">
        <v>19</v>
      </c>
      <c r="W100" s="1">
        <v>20</v>
      </c>
      <c r="X100" s="1">
        <v>21</v>
      </c>
      <c r="Y100" s="1">
        <v>22</v>
      </c>
      <c r="Z100" s="1">
        <v>23</v>
      </c>
      <c r="AA100" s="10">
        <v>24</v>
      </c>
      <c r="AB100" s="10">
        <v>25</v>
      </c>
      <c r="AC100" s="1">
        <v>26</v>
      </c>
      <c r="AD100" s="1">
        <v>27</v>
      </c>
      <c r="AE100" s="1">
        <v>28</v>
      </c>
      <c r="AF100" s="1">
        <v>29</v>
      </c>
      <c r="AG100" s="1">
        <v>30</v>
      </c>
      <c r="AH100" s="5"/>
      <c r="AK100" s="47"/>
      <c r="AL100" s="23"/>
      <c r="AM100" s="24"/>
    </row>
    <row r="101" spans="2:39" ht="15.75" thickBot="1" x14ac:dyDescent="0.25">
      <c r="B101" s="244"/>
      <c r="C101" s="244"/>
      <c r="D101" s="131" t="s">
        <v>69</v>
      </c>
      <c r="E101" s="306" t="s">
        <v>48</v>
      </c>
      <c r="F101" s="306"/>
      <c r="G101" s="306"/>
      <c r="H101" s="306"/>
      <c r="I101" s="306"/>
      <c r="J101" s="306"/>
      <c r="K101" s="306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6"/>
      <c r="AH101" s="65"/>
      <c r="AK101" s="47"/>
      <c r="AL101" s="23"/>
      <c r="AM101" s="24"/>
    </row>
    <row r="102" spans="2:39" ht="15.75" thickBot="1" x14ac:dyDescent="0.25">
      <c r="B102" s="244"/>
      <c r="C102" s="244"/>
      <c r="D102" s="4"/>
      <c r="E102" s="1"/>
      <c r="F102" s="10"/>
      <c r="G102" s="10"/>
      <c r="H102" s="1"/>
      <c r="I102" s="1"/>
      <c r="J102" s="1"/>
      <c r="K102" s="1"/>
      <c r="L102" s="1"/>
      <c r="M102" s="10"/>
      <c r="N102" s="10"/>
      <c r="O102" s="1"/>
      <c r="P102" s="1"/>
      <c r="Q102" s="1"/>
      <c r="R102" s="1"/>
      <c r="S102" s="1"/>
      <c r="T102" s="10"/>
      <c r="U102" s="10"/>
      <c r="V102" s="1"/>
      <c r="W102" s="1"/>
      <c r="X102" s="1"/>
      <c r="Y102" s="1"/>
      <c r="Z102" s="1"/>
      <c r="AA102" s="10"/>
      <c r="AB102" s="10"/>
      <c r="AC102" s="1"/>
      <c r="AD102" s="1"/>
      <c r="AE102" s="1"/>
      <c r="AF102" s="1"/>
      <c r="AG102" s="1"/>
      <c r="AH102" s="5"/>
      <c r="AK102" s="47"/>
      <c r="AL102" s="23"/>
      <c r="AM102" s="27"/>
    </row>
    <row r="103" spans="2:39" ht="15.75" thickBot="1" x14ac:dyDescent="0.25">
      <c r="B103" s="244"/>
      <c r="C103" s="244"/>
      <c r="D103" s="4"/>
      <c r="E103" s="1"/>
      <c r="F103" s="10"/>
      <c r="G103" s="10"/>
      <c r="H103" s="1"/>
      <c r="I103" s="1"/>
      <c r="J103" s="1"/>
      <c r="K103" s="1"/>
      <c r="L103" s="1"/>
      <c r="M103" s="10"/>
      <c r="N103" s="10"/>
      <c r="O103" s="1"/>
      <c r="P103" s="1"/>
      <c r="Q103" s="1"/>
      <c r="R103" s="1"/>
      <c r="S103" s="1"/>
      <c r="T103" s="10"/>
      <c r="U103" s="10"/>
      <c r="V103" s="1"/>
      <c r="W103" s="1"/>
      <c r="X103" s="1"/>
      <c r="Y103" s="1"/>
      <c r="Z103" s="1"/>
      <c r="AA103" s="10"/>
      <c r="AB103" s="10"/>
      <c r="AC103" s="1"/>
      <c r="AD103" s="1"/>
      <c r="AE103" s="1"/>
      <c r="AF103" s="1"/>
      <c r="AG103" s="1"/>
      <c r="AH103" s="5"/>
      <c r="AK103" s="47"/>
      <c r="AL103" s="26"/>
      <c r="AM103" s="29">
        <v>0</v>
      </c>
    </row>
    <row r="104" spans="2:39" ht="15.75" thickBot="1" x14ac:dyDescent="0.25">
      <c r="B104" s="244"/>
      <c r="C104" s="244"/>
      <c r="AK104" s="47"/>
      <c r="AL104" s="23"/>
      <c r="AM104" s="28"/>
    </row>
    <row r="105" spans="2:39" x14ac:dyDescent="0.2">
      <c r="B105" s="244"/>
      <c r="C105" s="244"/>
      <c r="D105" s="194">
        <v>46508</v>
      </c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6"/>
      <c r="AJ105" s="164" t="s">
        <v>51</v>
      </c>
      <c r="AK105" s="47">
        <f>SUM(AK99+2.5-AM103)</f>
        <v>62</v>
      </c>
      <c r="AL105" s="23"/>
      <c r="AM105" s="24"/>
    </row>
    <row r="106" spans="2:39" x14ac:dyDescent="0.2">
      <c r="B106" s="244"/>
      <c r="C106" s="244"/>
      <c r="D106" s="12">
        <v>1</v>
      </c>
      <c r="E106" s="10">
        <v>2</v>
      </c>
      <c r="F106" s="1">
        <v>3</v>
      </c>
      <c r="G106" s="1">
        <v>4</v>
      </c>
      <c r="H106" s="1">
        <v>5</v>
      </c>
      <c r="I106" s="1">
        <v>6</v>
      </c>
      <c r="J106" s="1">
        <v>7</v>
      </c>
      <c r="K106" s="10">
        <v>8</v>
      </c>
      <c r="L106" s="10">
        <v>9</v>
      </c>
      <c r="M106" s="1">
        <v>10</v>
      </c>
      <c r="N106" s="1">
        <v>11</v>
      </c>
      <c r="O106" s="1">
        <v>12</v>
      </c>
      <c r="P106" s="1">
        <v>13</v>
      </c>
      <c r="Q106" s="1">
        <v>14</v>
      </c>
      <c r="R106" s="10">
        <v>15</v>
      </c>
      <c r="S106" s="10">
        <v>16</v>
      </c>
      <c r="T106" s="1">
        <v>17</v>
      </c>
      <c r="U106" s="1">
        <v>18</v>
      </c>
      <c r="V106" s="1">
        <v>19</v>
      </c>
      <c r="W106" s="1">
        <v>20</v>
      </c>
      <c r="X106" s="1">
        <v>21</v>
      </c>
      <c r="Y106" s="10">
        <v>22</v>
      </c>
      <c r="Z106" s="10">
        <v>23</v>
      </c>
      <c r="AA106" s="1">
        <v>24</v>
      </c>
      <c r="AB106" s="1">
        <v>25</v>
      </c>
      <c r="AC106" s="1">
        <v>26</v>
      </c>
      <c r="AD106" s="1">
        <v>27</v>
      </c>
      <c r="AE106" s="1">
        <v>28</v>
      </c>
      <c r="AF106" s="10">
        <v>29</v>
      </c>
      <c r="AG106" s="10">
        <v>30</v>
      </c>
      <c r="AH106" s="5">
        <v>31</v>
      </c>
      <c r="AK106" s="47"/>
      <c r="AL106" s="23"/>
      <c r="AM106" s="24"/>
    </row>
    <row r="107" spans="2:39" ht="15.75" thickBot="1" x14ac:dyDescent="0.25">
      <c r="B107" s="244"/>
      <c r="C107" s="244"/>
      <c r="D107" s="277" t="s">
        <v>67</v>
      </c>
      <c r="E107" s="278"/>
      <c r="F107" s="278"/>
      <c r="G107" s="278"/>
      <c r="H107" s="278"/>
      <c r="I107" s="278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278"/>
      <c r="AH107" s="279"/>
      <c r="AK107" s="47"/>
      <c r="AL107" s="23"/>
      <c r="AM107" s="24"/>
    </row>
    <row r="108" spans="2:39" ht="15.75" thickBot="1" x14ac:dyDescent="0.25">
      <c r="B108" s="244"/>
      <c r="C108" s="244"/>
      <c r="D108" s="12"/>
      <c r="E108" s="10"/>
      <c r="F108" s="1"/>
      <c r="G108" s="1"/>
      <c r="H108" s="1"/>
      <c r="I108" s="1"/>
      <c r="J108" s="1"/>
      <c r="K108" s="10"/>
      <c r="L108" s="10"/>
      <c r="M108" s="1"/>
      <c r="N108" s="1"/>
      <c r="O108" s="1"/>
      <c r="P108" s="1"/>
      <c r="Q108" s="1"/>
      <c r="R108" s="10"/>
      <c r="S108" s="10"/>
      <c r="T108" s="1"/>
      <c r="U108" s="1"/>
      <c r="V108" s="1"/>
      <c r="W108" s="1"/>
      <c r="X108" s="1"/>
      <c r="Y108" s="10"/>
      <c r="Z108" s="10"/>
      <c r="AA108" s="1"/>
      <c r="AB108" s="1"/>
      <c r="AC108" s="1"/>
      <c r="AD108" s="1"/>
      <c r="AE108" s="1"/>
      <c r="AF108" s="10"/>
      <c r="AG108" s="10"/>
      <c r="AH108" s="5"/>
      <c r="AK108" s="47"/>
      <c r="AL108" s="23"/>
      <c r="AM108" s="27"/>
    </row>
    <row r="109" spans="2:39" ht="15.75" thickBot="1" x14ac:dyDescent="0.25">
      <c r="B109" s="244"/>
      <c r="C109" s="244"/>
      <c r="D109" s="12"/>
      <c r="E109" s="10"/>
      <c r="F109" s="1"/>
      <c r="G109" s="1"/>
      <c r="H109" s="1"/>
      <c r="I109" s="1"/>
      <c r="J109" s="1"/>
      <c r="K109" s="10"/>
      <c r="L109" s="10"/>
      <c r="M109" s="1"/>
      <c r="N109" s="1"/>
      <c r="O109" s="1"/>
      <c r="P109" s="1"/>
      <c r="Q109" s="1"/>
      <c r="R109" s="10"/>
      <c r="S109" s="10"/>
      <c r="T109" s="1"/>
      <c r="U109" s="1"/>
      <c r="V109" s="1"/>
      <c r="W109" s="1"/>
      <c r="X109" s="1"/>
      <c r="Y109" s="10"/>
      <c r="Z109" s="10"/>
      <c r="AA109" s="1"/>
      <c r="AB109" s="1"/>
      <c r="AC109" s="1"/>
      <c r="AD109" s="1"/>
      <c r="AE109" s="1"/>
      <c r="AF109" s="10"/>
      <c r="AG109" s="10"/>
      <c r="AH109" s="5"/>
      <c r="AK109" s="47"/>
      <c r="AL109" s="26"/>
      <c r="AM109" s="29">
        <v>31</v>
      </c>
    </row>
    <row r="110" spans="2:39" ht="15.75" thickBot="1" x14ac:dyDescent="0.25">
      <c r="B110" s="244"/>
      <c r="C110" s="244"/>
      <c r="AK110" s="47"/>
      <c r="AL110" s="23"/>
      <c r="AM110" s="28"/>
    </row>
    <row r="111" spans="2:39" x14ac:dyDescent="0.2">
      <c r="B111" s="244"/>
      <c r="C111" s="244"/>
      <c r="D111" s="194">
        <v>46539</v>
      </c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6"/>
      <c r="AJ111" s="164" t="s">
        <v>52</v>
      </c>
      <c r="AK111" s="47">
        <f>SUM(AK105-AM109)</f>
        <v>31</v>
      </c>
      <c r="AL111" s="23"/>
      <c r="AM111" s="24"/>
    </row>
    <row r="112" spans="2:39" x14ac:dyDescent="0.2">
      <c r="B112" s="244"/>
      <c r="C112" s="244"/>
      <c r="D112" s="4">
        <v>1</v>
      </c>
      <c r="E112" s="1">
        <v>2</v>
      </c>
      <c r="F112" s="1">
        <v>3</v>
      </c>
      <c r="G112" s="1">
        <v>4</v>
      </c>
      <c r="H112" s="10">
        <v>5</v>
      </c>
      <c r="I112" s="10">
        <v>6</v>
      </c>
      <c r="J112" s="1">
        <v>7</v>
      </c>
      <c r="K112" s="1">
        <v>8</v>
      </c>
      <c r="L112" s="1">
        <v>9</v>
      </c>
      <c r="M112" s="1">
        <v>10</v>
      </c>
      <c r="N112" s="1">
        <v>11</v>
      </c>
      <c r="O112" s="10">
        <v>12</v>
      </c>
      <c r="P112" s="10">
        <v>13</v>
      </c>
      <c r="Q112" s="1">
        <v>14</v>
      </c>
      <c r="R112" s="1">
        <v>15</v>
      </c>
      <c r="S112" s="1">
        <v>16</v>
      </c>
      <c r="T112" s="1">
        <v>17</v>
      </c>
      <c r="U112" s="1">
        <v>18</v>
      </c>
      <c r="V112" s="10">
        <v>19</v>
      </c>
      <c r="W112" s="10">
        <v>20</v>
      </c>
      <c r="X112" s="1">
        <v>21</v>
      </c>
      <c r="Y112" s="1">
        <v>22</v>
      </c>
      <c r="Z112" s="1">
        <v>23</v>
      </c>
      <c r="AA112" s="1">
        <v>24</v>
      </c>
      <c r="AB112" s="1">
        <v>25</v>
      </c>
      <c r="AC112" s="10">
        <v>26</v>
      </c>
      <c r="AD112" s="10">
        <v>27</v>
      </c>
      <c r="AE112" s="1">
        <v>28</v>
      </c>
      <c r="AF112" s="1">
        <v>29</v>
      </c>
      <c r="AG112" s="1">
        <v>30</v>
      </c>
      <c r="AH112" s="5"/>
      <c r="AK112" s="47"/>
      <c r="AL112" s="23"/>
      <c r="AM112" s="24"/>
    </row>
    <row r="113" spans="2:39" x14ac:dyDescent="0.2">
      <c r="B113" s="244"/>
      <c r="C113" s="244"/>
      <c r="D113" s="51" t="s">
        <v>30</v>
      </c>
      <c r="E113" s="1"/>
      <c r="F113" s="1"/>
      <c r="G113" s="1"/>
      <c r="H113" s="10"/>
      <c r="I113" s="10"/>
      <c r="J113" s="1"/>
      <c r="K113" s="1"/>
      <c r="L113" s="1"/>
      <c r="M113" s="1"/>
      <c r="N113" s="1"/>
      <c r="O113" s="10"/>
      <c r="P113" s="10"/>
      <c r="Q113" s="1"/>
      <c r="R113" s="1"/>
      <c r="S113" s="1"/>
      <c r="T113" s="1"/>
      <c r="U113" s="1"/>
      <c r="V113" s="10"/>
      <c r="W113" s="10"/>
      <c r="X113" s="1"/>
      <c r="Y113" s="1"/>
      <c r="Z113" s="1"/>
      <c r="AA113" s="1"/>
      <c r="AB113" s="1"/>
      <c r="AC113" s="10"/>
      <c r="AD113" s="10"/>
      <c r="AE113" s="1"/>
      <c r="AF113" s="1"/>
      <c r="AG113" s="1"/>
      <c r="AH113" s="5"/>
      <c r="AK113" s="47"/>
      <c r="AL113" s="23"/>
      <c r="AM113" s="24"/>
    </row>
    <row r="114" spans="2:39" ht="15.75" thickBot="1" x14ac:dyDescent="0.25">
      <c r="B114" s="244"/>
      <c r="C114" s="244"/>
      <c r="D114" s="51"/>
      <c r="E114" s="1"/>
      <c r="F114" s="1"/>
      <c r="G114" s="1"/>
      <c r="H114" s="10"/>
      <c r="I114" s="10"/>
      <c r="J114" s="1"/>
      <c r="K114" s="1"/>
      <c r="L114" s="1"/>
      <c r="M114" s="1"/>
      <c r="N114" s="1"/>
      <c r="O114" s="10"/>
      <c r="P114" s="10"/>
      <c r="Q114" s="1"/>
      <c r="R114" s="1"/>
      <c r="S114" s="1"/>
      <c r="T114" s="1"/>
      <c r="U114" s="1"/>
      <c r="V114" s="10"/>
      <c r="W114" s="10"/>
      <c r="X114" s="1"/>
      <c r="Y114" s="1"/>
      <c r="Z114" s="1"/>
      <c r="AA114" s="1"/>
      <c r="AB114" s="1"/>
      <c r="AC114" s="10"/>
      <c r="AD114" s="10"/>
      <c r="AE114" s="1"/>
      <c r="AF114" s="1"/>
      <c r="AG114" s="1"/>
      <c r="AH114" s="5"/>
      <c r="AK114" s="47"/>
      <c r="AL114" s="23"/>
      <c r="AM114" s="27"/>
    </row>
    <row r="115" spans="2:39" ht="15.75" thickBot="1" x14ac:dyDescent="0.25">
      <c r="B115" s="244"/>
      <c r="C115" s="244"/>
      <c r="D115" s="51"/>
      <c r="E115" s="1"/>
      <c r="F115" s="1"/>
      <c r="G115" s="1"/>
      <c r="H115" s="10"/>
      <c r="I115" s="10"/>
      <c r="J115" s="1"/>
      <c r="K115" s="1"/>
      <c r="L115" s="1"/>
      <c r="M115" s="1"/>
      <c r="N115" s="1"/>
      <c r="O115" s="10"/>
      <c r="P115" s="10"/>
      <c r="Q115" s="1"/>
      <c r="R115" s="1"/>
      <c r="S115" s="1"/>
      <c r="T115" s="1"/>
      <c r="U115" s="1"/>
      <c r="V115" s="10"/>
      <c r="W115" s="10"/>
      <c r="X115" s="1"/>
      <c r="Y115" s="1"/>
      <c r="Z115" s="1"/>
      <c r="AA115" s="1"/>
      <c r="AB115" s="1"/>
      <c r="AC115" s="10"/>
      <c r="AD115" s="10"/>
      <c r="AE115" s="1"/>
      <c r="AF115" s="1"/>
      <c r="AG115" s="1"/>
      <c r="AH115" s="5"/>
      <c r="AK115" s="48"/>
      <c r="AL115" s="26"/>
      <c r="AM115" s="29">
        <v>0</v>
      </c>
    </row>
    <row r="116" spans="2:39" ht="35.25" thickBot="1" x14ac:dyDescent="0.55000000000000004">
      <c r="AI116" s="55"/>
      <c r="AJ116" s="55"/>
      <c r="AK116" s="54" t="s">
        <v>11</v>
      </c>
      <c r="AL116" s="148"/>
      <c r="AM116" s="28"/>
    </row>
    <row r="117" spans="2:39" ht="35.25" thickBot="1" x14ac:dyDescent="0.55000000000000004">
      <c r="D117" s="194">
        <v>46569</v>
      </c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6"/>
      <c r="AI117" s="55"/>
      <c r="AJ117" s="55" t="s">
        <v>53</v>
      </c>
      <c r="AK117" s="53">
        <f>SUM(AK111-AM115)</f>
        <v>31</v>
      </c>
      <c r="AL117" s="148"/>
      <c r="AM117" s="24"/>
    </row>
    <row r="118" spans="2:39" x14ac:dyDescent="0.2">
      <c r="D118" s="16">
        <v>1</v>
      </c>
      <c r="E118" s="1">
        <v>2</v>
      </c>
      <c r="F118" s="10">
        <v>3</v>
      </c>
      <c r="G118" s="10">
        <v>4</v>
      </c>
      <c r="H118" s="1">
        <v>5</v>
      </c>
      <c r="I118" s="1">
        <v>6</v>
      </c>
      <c r="J118" s="1">
        <v>7</v>
      </c>
      <c r="K118" s="1">
        <v>8</v>
      </c>
      <c r="L118" s="1">
        <v>9</v>
      </c>
      <c r="M118" s="10">
        <v>10</v>
      </c>
      <c r="N118" s="10">
        <v>11</v>
      </c>
      <c r="O118" s="1">
        <v>12</v>
      </c>
      <c r="P118" s="1">
        <v>13</v>
      </c>
      <c r="Q118" s="1">
        <v>14</v>
      </c>
      <c r="R118" s="1">
        <v>15</v>
      </c>
      <c r="S118" s="1">
        <v>16</v>
      </c>
      <c r="T118" s="10">
        <v>17</v>
      </c>
      <c r="U118" s="10">
        <v>18</v>
      </c>
      <c r="V118" s="1">
        <v>19</v>
      </c>
      <c r="W118" s="1">
        <v>20</v>
      </c>
      <c r="X118" s="1">
        <v>21</v>
      </c>
      <c r="Y118" s="1">
        <v>22</v>
      </c>
      <c r="Z118" s="1">
        <v>23</v>
      </c>
      <c r="AA118" s="10">
        <v>24</v>
      </c>
      <c r="AB118" s="10">
        <v>25</v>
      </c>
      <c r="AC118" s="1">
        <v>26</v>
      </c>
      <c r="AD118" s="1">
        <v>27</v>
      </c>
      <c r="AE118" s="1">
        <v>28</v>
      </c>
      <c r="AF118" s="1">
        <v>29</v>
      </c>
      <c r="AG118" s="1">
        <v>30</v>
      </c>
      <c r="AH118" s="14">
        <v>31</v>
      </c>
      <c r="AK118" s="49"/>
      <c r="AL118" s="23"/>
      <c r="AM118" s="24"/>
    </row>
    <row r="119" spans="2:39" x14ac:dyDescent="0.2">
      <c r="D119" s="20" t="s">
        <v>1</v>
      </c>
      <c r="E119" s="1"/>
      <c r="F119" s="10"/>
      <c r="G119" s="10"/>
      <c r="H119" s="1"/>
      <c r="I119" s="1"/>
      <c r="J119" s="1"/>
      <c r="K119" s="1"/>
      <c r="L119" s="1"/>
      <c r="M119" s="10"/>
      <c r="N119" s="10"/>
      <c r="O119" s="1"/>
      <c r="P119" s="1"/>
      <c r="Q119" s="1"/>
      <c r="R119" s="1"/>
      <c r="S119" s="1"/>
      <c r="T119" s="10"/>
      <c r="U119" s="10"/>
      <c r="V119" s="1"/>
      <c r="W119" s="1"/>
      <c r="X119" s="1"/>
      <c r="Y119" s="1"/>
      <c r="Z119" s="1"/>
      <c r="AA119" s="10"/>
      <c r="AB119" s="10"/>
      <c r="AC119" s="1"/>
      <c r="AD119" s="1"/>
      <c r="AE119" s="1"/>
      <c r="AF119" s="1"/>
      <c r="AG119" s="1"/>
      <c r="AH119" s="14"/>
      <c r="AK119" s="47"/>
      <c r="AL119" s="23"/>
      <c r="AM119" s="24"/>
    </row>
    <row r="120" spans="2:39" x14ac:dyDescent="0.2">
      <c r="D120" s="16"/>
      <c r="E120" s="1"/>
      <c r="F120" s="10"/>
      <c r="G120" s="10"/>
      <c r="H120" s="1"/>
      <c r="I120" s="1"/>
      <c r="J120" s="1"/>
      <c r="K120" s="1"/>
      <c r="L120" s="1"/>
      <c r="M120" s="10"/>
      <c r="N120" s="10"/>
      <c r="O120" s="1"/>
      <c r="P120" s="1"/>
      <c r="Q120" s="1"/>
      <c r="R120" s="1"/>
      <c r="S120" s="1"/>
      <c r="T120" s="10"/>
      <c r="U120" s="10"/>
      <c r="V120" s="1"/>
      <c r="W120" s="1"/>
      <c r="X120" s="1"/>
      <c r="Y120" s="1"/>
      <c r="Z120" s="1"/>
      <c r="AA120" s="10"/>
      <c r="AB120" s="10"/>
      <c r="AC120" s="1"/>
      <c r="AD120" s="1"/>
      <c r="AE120" s="1"/>
      <c r="AF120" s="1"/>
      <c r="AG120" s="1"/>
      <c r="AH120" s="14"/>
      <c r="AK120" s="47"/>
      <c r="AL120" s="23"/>
      <c r="AM120" s="24"/>
    </row>
    <row r="121" spans="2:39" ht="15.75" thickBot="1" x14ac:dyDescent="0.25">
      <c r="D121" s="17"/>
      <c r="E121" s="7"/>
      <c r="F121" s="11"/>
      <c r="G121" s="11"/>
      <c r="H121" s="7"/>
      <c r="I121" s="7"/>
      <c r="J121" s="7"/>
      <c r="K121" s="7"/>
      <c r="L121" s="7"/>
      <c r="M121" s="11"/>
      <c r="N121" s="11"/>
      <c r="O121" s="7"/>
      <c r="P121" s="7"/>
      <c r="Q121" s="7"/>
      <c r="R121" s="7"/>
      <c r="S121" s="7"/>
      <c r="T121" s="11"/>
      <c r="U121" s="11"/>
      <c r="V121" s="7"/>
      <c r="W121" s="7"/>
      <c r="X121" s="7"/>
      <c r="Y121" s="7"/>
      <c r="Z121" s="7"/>
      <c r="AA121" s="11"/>
      <c r="AB121" s="11"/>
      <c r="AC121" s="7"/>
      <c r="AD121" s="7"/>
      <c r="AE121" s="7"/>
      <c r="AF121" s="7"/>
      <c r="AG121" s="7"/>
      <c r="AH121" s="15"/>
      <c r="AK121" s="47"/>
      <c r="AL121" s="23"/>
      <c r="AM121" s="24"/>
    </row>
    <row r="124" spans="2:39" x14ac:dyDescent="0.2">
      <c r="AC124">
        <v>21</v>
      </c>
    </row>
    <row r="125" spans="2:39" x14ac:dyDescent="0.2">
      <c r="AC125">
        <v>28</v>
      </c>
    </row>
    <row r="126" spans="2:39" x14ac:dyDescent="0.2">
      <c r="AC126">
        <v>31</v>
      </c>
    </row>
    <row r="127" spans="2:39" x14ac:dyDescent="0.2">
      <c r="AC127">
        <v>19</v>
      </c>
    </row>
    <row r="128" spans="2:39" x14ac:dyDescent="0.2">
      <c r="AC128">
        <f>SUM(AC124:AC127)</f>
        <v>99</v>
      </c>
    </row>
    <row r="132" spans="4:4" x14ac:dyDescent="0.2">
      <c r="D132" t="s">
        <v>20</v>
      </c>
    </row>
    <row r="133" spans="4:4" x14ac:dyDescent="0.2">
      <c r="D133" t="s">
        <v>21</v>
      </c>
    </row>
    <row r="134" spans="4:4" x14ac:dyDescent="0.2">
      <c r="D134" t="s">
        <v>22</v>
      </c>
    </row>
    <row r="135" spans="4:4" x14ac:dyDescent="0.2">
      <c r="D135" t="s">
        <v>23</v>
      </c>
    </row>
    <row r="136" spans="4:4" x14ac:dyDescent="0.2">
      <c r="D136" t="s">
        <v>24</v>
      </c>
    </row>
    <row r="137" spans="4:4" x14ac:dyDescent="0.2">
      <c r="D137" t="s">
        <v>25</v>
      </c>
    </row>
    <row r="138" spans="4:4" x14ac:dyDescent="0.2">
      <c r="D138" t="s">
        <v>26</v>
      </c>
    </row>
    <row r="139" spans="4:4" x14ac:dyDescent="0.2">
      <c r="D139" t="s">
        <v>27</v>
      </c>
    </row>
    <row r="140" spans="4:4" x14ac:dyDescent="0.2">
      <c r="D140" s="86" t="s">
        <v>28</v>
      </c>
    </row>
  </sheetData>
  <mergeCells count="76">
    <mergeCell ref="D117:AH117"/>
    <mergeCell ref="D81:AH81"/>
    <mergeCell ref="D87:AH87"/>
    <mergeCell ref="D89:AE89"/>
    <mergeCell ref="D93:AH93"/>
    <mergeCell ref="D95:AH95"/>
    <mergeCell ref="AG83:AH83"/>
    <mergeCell ref="D83:AF83"/>
    <mergeCell ref="D99:AH99"/>
    <mergeCell ref="E101:AG101"/>
    <mergeCell ref="D105:AH105"/>
    <mergeCell ref="D107:AH107"/>
    <mergeCell ref="D111:AH111"/>
    <mergeCell ref="D75:AH75"/>
    <mergeCell ref="D77:W77"/>
    <mergeCell ref="X77:AH77"/>
    <mergeCell ref="J78:L78"/>
    <mergeCell ref="M78:N78"/>
    <mergeCell ref="X78:AH78"/>
    <mergeCell ref="O72:P72"/>
    <mergeCell ref="S72:U72"/>
    <mergeCell ref="V72:W72"/>
    <mergeCell ref="Z72:AD72"/>
    <mergeCell ref="AC73:AD73"/>
    <mergeCell ref="D69:AH69"/>
    <mergeCell ref="H66:I66"/>
    <mergeCell ref="V66:X66"/>
    <mergeCell ref="Y66:Z66"/>
    <mergeCell ref="E71:I71"/>
    <mergeCell ref="J71:AG71"/>
    <mergeCell ref="Q60:S60"/>
    <mergeCell ref="T60:U60"/>
    <mergeCell ref="BL64:CP64"/>
    <mergeCell ref="D65:G65"/>
    <mergeCell ref="H65:S65"/>
    <mergeCell ref="T65:AH65"/>
    <mergeCell ref="D33:AH33"/>
    <mergeCell ref="E35:AH35"/>
    <mergeCell ref="D39:AH39"/>
    <mergeCell ref="D41:AG41"/>
    <mergeCell ref="L55:R55"/>
    <mergeCell ref="B45:C115"/>
    <mergeCell ref="D45:AH45"/>
    <mergeCell ref="D47:AH47"/>
    <mergeCell ref="P48:R48"/>
    <mergeCell ref="S48:T48"/>
    <mergeCell ref="W48:X48"/>
    <mergeCell ref="AG48:AH48"/>
    <mergeCell ref="D51:AH51"/>
    <mergeCell ref="D53:AH53"/>
    <mergeCell ref="P54:Q54"/>
    <mergeCell ref="T54:V54"/>
    <mergeCell ref="W54:X54"/>
    <mergeCell ref="D63:AH63"/>
    <mergeCell ref="D57:AH57"/>
    <mergeCell ref="D59:U59"/>
    <mergeCell ref="V59:AG59"/>
    <mergeCell ref="D29:F29"/>
    <mergeCell ref="G29:AF29"/>
    <mergeCell ref="D15:AH15"/>
    <mergeCell ref="E17:M17"/>
    <mergeCell ref="N17:AE17"/>
    <mergeCell ref="Y18:AE18"/>
    <mergeCell ref="D21:AH21"/>
    <mergeCell ref="D23:AH23"/>
    <mergeCell ref="D24:K24"/>
    <mergeCell ref="L24:W24"/>
    <mergeCell ref="Z24:AB24"/>
    <mergeCell ref="AC24:AE24"/>
    <mergeCell ref="D27:AH27"/>
    <mergeCell ref="P13:R13"/>
    <mergeCell ref="D1:AH1"/>
    <mergeCell ref="D4:AH4"/>
    <mergeCell ref="D8:AH8"/>
    <mergeCell ref="D11:AA11"/>
    <mergeCell ref="AB11:AH11"/>
  </mergeCells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8CE1-FF06-AB4A-8F4B-EC81087F966C}">
  <sheetPr>
    <pageSetUpPr fitToPage="1"/>
  </sheetPr>
  <dimension ref="A1:CQ140"/>
  <sheetViews>
    <sheetView topLeftCell="A44" zoomScale="80" zoomScaleNormal="80" workbookViewId="0">
      <selection activeCell="AS130" sqref="AS130"/>
    </sheetView>
  </sheetViews>
  <sheetFormatPr defaultRowHeight="15" x14ac:dyDescent="0.2"/>
  <cols>
    <col min="4" max="4" width="10.4921875" bestFit="1" customWidth="1"/>
    <col min="21" max="21" width="10.625" customWidth="1"/>
    <col min="36" max="36" width="15.19921875" style="166" customWidth="1"/>
    <col min="37" max="37" width="15.46875" style="166" customWidth="1"/>
    <col min="38" max="38" width="13.5859375" style="50" bestFit="1" customWidth="1"/>
    <col min="39" max="39" width="8.609375" style="166"/>
    <col min="40" max="40" width="8.609375" style="25"/>
  </cols>
  <sheetData>
    <row r="1" spans="5:40" x14ac:dyDescent="0.2">
      <c r="E1" s="194">
        <v>45992</v>
      </c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6"/>
      <c r="AL1" s="47">
        <v>68</v>
      </c>
      <c r="AM1" s="23"/>
      <c r="AN1" s="24"/>
    </row>
    <row r="2" spans="5:40" x14ac:dyDescent="0.2">
      <c r="E2" s="111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L2" s="47"/>
      <c r="AM2" s="23"/>
      <c r="AN2" s="24"/>
    </row>
    <row r="3" spans="5:40" x14ac:dyDescent="0.2">
      <c r="E3" s="30">
        <v>1</v>
      </c>
      <c r="F3" s="31">
        <v>2</v>
      </c>
      <c r="G3" s="31">
        <v>3</v>
      </c>
      <c r="H3" s="31">
        <v>4</v>
      </c>
      <c r="I3" s="31">
        <v>5</v>
      </c>
      <c r="J3" s="10">
        <v>6</v>
      </c>
      <c r="K3" s="10">
        <v>7</v>
      </c>
      <c r="L3" s="31">
        <v>8</v>
      </c>
      <c r="M3" s="31">
        <v>9</v>
      </c>
      <c r="N3" s="31">
        <v>10</v>
      </c>
      <c r="O3" s="31">
        <v>11</v>
      </c>
      <c r="P3" s="31">
        <v>12</v>
      </c>
      <c r="Q3" s="10">
        <v>13</v>
      </c>
      <c r="R3" s="10">
        <v>14</v>
      </c>
      <c r="S3" s="31">
        <v>15</v>
      </c>
      <c r="T3" s="31">
        <v>16</v>
      </c>
      <c r="U3" s="31">
        <v>17</v>
      </c>
      <c r="V3" s="31">
        <v>18</v>
      </c>
      <c r="W3" s="31">
        <v>19</v>
      </c>
      <c r="X3" s="10">
        <v>20</v>
      </c>
      <c r="Y3" s="10">
        <v>21</v>
      </c>
      <c r="Z3" s="31">
        <v>22</v>
      </c>
      <c r="AA3" s="31">
        <v>23</v>
      </c>
      <c r="AB3" s="31">
        <v>24</v>
      </c>
      <c r="AC3" s="31">
        <v>25</v>
      </c>
      <c r="AD3" s="31">
        <v>26</v>
      </c>
      <c r="AE3" s="10">
        <v>27</v>
      </c>
      <c r="AF3" s="10">
        <v>28</v>
      </c>
      <c r="AG3" s="31">
        <v>29</v>
      </c>
      <c r="AH3" s="31">
        <v>30</v>
      </c>
      <c r="AI3" s="34">
        <v>31</v>
      </c>
      <c r="AL3" s="47"/>
      <c r="AM3" s="23"/>
      <c r="AN3" s="24"/>
    </row>
    <row r="4" spans="5:40" x14ac:dyDescent="0.2">
      <c r="E4" s="223" t="s">
        <v>5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5"/>
      <c r="AL4" s="47"/>
      <c r="AM4" s="23"/>
      <c r="AN4" s="24"/>
    </row>
    <row r="5" spans="5:40" ht="15.75" thickBot="1" x14ac:dyDescent="0.25">
      <c r="E5" s="30"/>
      <c r="F5" s="31"/>
      <c r="G5" s="31"/>
      <c r="H5" s="31"/>
      <c r="I5" s="31"/>
      <c r="J5" s="10"/>
      <c r="K5" s="10"/>
      <c r="L5" s="31"/>
      <c r="M5" s="31"/>
      <c r="N5" s="31"/>
      <c r="O5" s="31"/>
      <c r="P5" s="31"/>
      <c r="Q5" s="10"/>
      <c r="R5" s="10"/>
      <c r="S5" s="31"/>
      <c r="T5" s="31"/>
      <c r="U5" s="31"/>
      <c r="V5" s="31"/>
      <c r="W5" s="31"/>
      <c r="X5" s="10"/>
      <c r="Y5" s="10"/>
      <c r="Z5" s="31"/>
      <c r="AA5" s="31"/>
      <c r="AB5" s="31"/>
      <c r="AC5" s="31"/>
      <c r="AD5" s="31"/>
      <c r="AE5" s="10"/>
      <c r="AF5" s="10"/>
      <c r="AG5" s="31"/>
      <c r="AH5" s="31"/>
      <c r="AI5" s="34"/>
      <c r="AL5" s="47"/>
      <c r="AM5" s="23"/>
      <c r="AN5" s="24"/>
    </row>
    <row r="6" spans="5:40" ht="15.75" thickBot="1" x14ac:dyDescent="0.25">
      <c r="E6" s="32"/>
      <c r="F6" s="33"/>
      <c r="G6" s="33"/>
      <c r="H6" s="33"/>
      <c r="I6" s="33"/>
      <c r="J6" s="11"/>
      <c r="K6" s="11"/>
      <c r="L6" s="33"/>
      <c r="M6" s="33"/>
      <c r="N6" s="33"/>
      <c r="O6" s="33"/>
      <c r="P6" s="33"/>
      <c r="Q6" s="11"/>
      <c r="R6" s="11"/>
      <c r="S6" s="33"/>
      <c r="T6" s="33"/>
      <c r="U6" s="33"/>
      <c r="V6" s="33"/>
      <c r="W6" s="33"/>
      <c r="X6" s="11"/>
      <c r="Y6" s="11"/>
      <c r="Z6" s="33"/>
      <c r="AA6" s="33"/>
      <c r="AB6" s="33"/>
      <c r="AC6" s="33"/>
      <c r="AD6" s="33"/>
      <c r="AE6" s="11"/>
      <c r="AF6" s="11"/>
      <c r="AG6" s="33"/>
      <c r="AH6" s="33"/>
      <c r="AI6" s="35"/>
      <c r="AL6" s="47"/>
      <c r="AM6" s="23"/>
      <c r="AN6" s="29">
        <v>0</v>
      </c>
    </row>
    <row r="7" spans="5:40" ht="15.75" thickBot="1" x14ac:dyDescent="0.25">
      <c r="AL7" s="47"/>
      <c r="AM7" s="23"/>
      <c r="AN7" s="24"/>
    </row>
    <row r="8" spans="5:40" x14ac:dyDescent="0.2">
      <c r="E8" s="194">
        <v>46023</v>
      </c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6"/>
      <c r="AL8" s="47">
        <f>SUM(AL1+2.5-AN6)</f>
        <v>70.5</v>
      </c>
      <c r="AM8" s="23"/>
      <c r="AN8" s="24"/>
    </row>
    <row r="9" spans="5:40" x14ac:dyDescent="0.2">
      <c r="E9" s="111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3"/>
      <c r="AL9" s="47"/>
      <c r="AM9" s="23"/>
      <c r="AN9" s="24"/>
    </row>
    <row r="10" spans="5:40" x14ac:dyDescent="0.2">
      <c r="E10" s="30">
        <v>1</v>
      </c>
      <c r="F10" s="31">
        <v>2</v>
      </c>
      <c r="G10" s="38">
        <v>3</v>
      </c>
      <c r="H10" s="38">
        <v>4</v>
      </c>
      <c r="I10" s="31">
        <v>5</v>
      </c>
      <c r="J10" s="31">
        <v>6</v>
      </c>
      <c r="K10" s="31">
        <v>7</v>
      </c>
      <c r="L10" s="31">
        <v>8</v>
      </c>
      <c r="M10" s="31">
        <v>9</v>
      </c>
      <c r="N10" s="38">
        <v>10</v>
      </c>
      <c r="O10" s="38">
        <v>11</v>
      </c>
      <c r="P10" s="31">
        <v>12</v>
      </c>
      <c r="Q10" s="31">
        <v>13</v>
      </c>
      <c r="R10" s="31">
        <v>14</v>
      </c>
      <c r="S10" s="31">
        <v>15</v>
      </c>
      <c r="T10" s="31">
        <v>16</v>
      </c>
      <c r="U10" s="38">
        <v>17</v>
      </c>
      <c r="V10" s="38">
        <v>18</v>
      </c>
      <c r="W10" s="31">
        <v>19</v>
      </c>
      <c r="X10" s="31">
        <v>20</v>
      </c>
      <c r="Y10" s="31">
        <v>21</v>
      </c>
      <c r="Z10" s="31">
        <v>22</v>
      </c>
      <c r="AA10" s="31">
        <v>23</v>
      </c>
      <c r="AB10" s="38">
        <v>24</v>
      </c>
      <c r="AC10" s="38">
        <v>25</v>
      </c>
      <c r="AD10" s="31">
        <v>26</v>
      </c>
      <c r="AE10" s="31">
        <v>27</v>
      </c>
      <c r="AF10" s="31">
        <v>28</v>
      </c>
      <c r="AG10" s="31">
        <v>29</v>
      </c>
      <c r="AH10" s="31">
        <v>30</v>
      </c>
      <c r="AI10" s="40">
        <v>31</v>
      </c>
      <c r="AL10" s="47"/>
      <c r="AM10" s="23"/>
      <c r="AN10" s="24"/>
    </row>
    <row r="11" spans="5:40" x14ac:dyDescent="0.2">
      <c r="E11" s="223" t="s">
        <v>5</v>
      </c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6"/>
      <c r="AC11" s="227" t="s">
        <v>37</v>
      </c>
      <c r="AD11" s="228"/>
      <c r="AE11" s="228"/>
      <c r="AF11" s="228"/>
      <c r="AG11" s="228"/>
      <c r="AH11" s="228"/>
      <c r="AI11" s="229"/>
      <c r="AL11" s="47"/>
      <c r="AM11" s="23"/>
      <c r="AN11" s="24"/>
    </row>
    <row r="12" spans="5:40" ht="15.75" thickBot="1" x14ac:dyDescent="0.25">
      <c r="E12" s="30"/>
      <c r="F12" s="31"/>
      <c r="G12" s="38"/>
      <c r="H12" s="38"/>
      <c r="I12" s="31"/>
      <c r="J12" s="31"/>
      <c r="K12" s="31"/>
      <c r="L12" s="31"/>
      <c r="M12" s="31"/>
      <c r="N12" s="38"/>
      <c r="O12" s="38"/>
      <c r="P12" s="31"/>
      <c r="Q12" s="31"/>
      <c r="R12" s="31"/>
      <c r="S12" s="31"/>
      <c r="T12" s="31"/>
      <c r="U12" s="38"/>
      <c r="V12" s="38"/>
      <c r="W12" s="31"/>
      <c r="X12" s="31"/>
      <c r="Y12" s="31"/>
      <c r="Z12" s="31"/>
      <c r="AA12" s="33"/>
      <c r="AB12" s="39"/>
      <c r="AC12" s="39"/>
      <c r="AD12" s="33"/>
      <c r="AE12" s="33"/>
      <c r="AF12" s="33"/>
      <c r="AG12" s="33"/>
      <c r="AH12" s="33"/>
      <c r="AI12" s="41"/>
      <c r="AL12" s="47"/>
      <c r="AM12" s="23"/>
      <c r="AN12" s="24"/>
    </row>
    <row r="13" spans="5:40" ht="15.75" thickBot="1" x14ac:dyDescent="0.25">
      <c r="E13" s="32"/>
      <c r="F13" s="33"/>
      <c r="G13" s="39"/>
      <c r="H13" s="39"/>
      <c r="I13" s="33"/>
      <c r="J13" s="33"/>
      <c r="K13" s="33"/>
      <c r="L13" s="33"/>
      <c r="M13" s="33"/>
      <c r="N13" s="39"/>
      <c r="O13" s="39"/>
      <c r="P13" s="45"/>
      <c r="Q13" s="221" t="s">
        <v>8</v>
      </c>
      <c r="R13" s="222"/>
      <c r="S13" s="222"/>
      <c r="T13" s="46"/>
      <c r="U13" s="39"/>
      <c r="V13" s="39"/>
      <c r="W13" s="33"/>
      <c r="X13" s="33"/>
      <c r="Y13" s="33"/>
      <c r="Z13" s="33"/>
      <c r="AA13" s="33"/>
      <c r="AB13" s="39"/>
      <c r="AC13" s="39"/>
      <c r="AD13" s="33"/>
      <c r="AE13" s="33"/>
      <c r="AF13" s="33"/>
      <c r="AG13" s="33"/>
      <c r="AH13" s="33"/>
      <c r="AI13" s="41"/>
      <c r="AL13" s="47"/>
      <c r="AM13" s="23"/>
      <c r="AN13" s="29">
        <v>7</v>
      </c>
    </row>
    <row r="14" spans="5:40" ht="15.75" thickBot="1" x14ac:dyDescent="0.25">
      <c r="AL14" s="47"/>
      <c r="AM14" s="23"/>
      <c r="AN14" s="24"/>
    </row>
    <row r="15" spans="5:40" x14ac:dyDescent="0.2">
      <c r="E15" s="194">
        <v>46054</v>
      </c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6"/>
      <c r="AL15" s="47">
        <f>SUM(AL8+2.5-AN13)</f>
        <v>66</v>
      </c>
      <c r="AM15" s="23"/>
      <c r="AN15" s="24"/>
    </row>
    <row r="16" spans="5:40" x14ac:dyDescent="0.2">
      <c r="E16" s="42">
        <v>1</v>
      </c>
      <c r="F16" s="1">
        <v>2</v>
      </c>
      <c r="G16" s="1">
        <v>3</v>
      </c>
      <c r="H16" s="1">
        <v>4</v>
      </c>
      <c r="I16" s="31">
        <v>5</v>
      </c>
      <c r="J16" s="31">
        <v>6</v>
      </c>
      <c r="K16" s="38">
        <v>7</v>
      </c>
      <c r="L16" s="38">
        <v>8</v>
      </c>
      <c r="M16" s="31">
        <v>9</v>
      </c>
      <c r="N16" s="31">
        <v>10</v>
      </c>
      <c r="O16" s="31">
        <v>11</v>
      </c>
      <c r="P16" s="31">
        <v>12</v>
      </c>
      <c r="Q16" s="31">
        <v>13</v>
      </c>
      <c r="R16" s="38">
        <v>14</v>
      </c>
      <c r="S16" s="38">
        <v>15</v>
      </c>
      <c r="T16" s="31">
        <v>16</v>
      </c>
      <c r="U16" s="31">
        <v>17</v>
      </c>
      <c r="V16" s="31">
        <v>18</v>
      </c>
      <c r="W16" s="31">
        <v>19</v>
      </c>
      <c r="X16" s="31">
        <v>20</v>
      </c>
      <c r="Y16" s="38">
        <v>21</v>
      </c>
      <c r="Z16" s="38">
        <v>22</v>
      </c>
      <c r="AA16" s="31">
        <v>23</v>
      </c>
      <c r="AB16" s="31">
        <v>24</v>
      </c>
      <c r="AC16" s="31">
        <v>25</v>
      </c>
      <c r="AD16" s="31">
        <v>26</v>
      </c>
      <c r="AE16" s="31">
        <v>27</v>
      </c>
      <c r="AF16" s="38">
        <v>28</v>
      </c>
      <c r="AG16" s="38">
        <v>29</v>
      </c>
      <c r="AH16" s="1"/>
      <c r="AI16" s="5"/>
      <c r="AL16" s="47"/>
      <c r="AM16" s="23"/>
      <c r="AN16" s="24"/>
    </row>
    <row r="17" spans="5:42" x14ac:dyDescent="0.2">
      <c r="E17" s="18"/>
      <c r="F17" s="233" t="s">
        <v>5</v>
      </c>
      <c r="G17" s="224"/>
      <c r="H17" s="224"/>
      <c r="I17" s="224"/>
      <c r="J17" s="224"/>
      <c r="K17" s="224"/>
      <c r="L17" s="224"/>
      <c r="M17" s="224"/>
      <c r="N17" s="226"/>
      <c r="O17" s="234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6"/>
      <c r="AG17" s="38"/>
      <c r="AH17" s="1"/>
      <c r="AI17" s="5"/>
      <c r="AL17" s="47"/>
      <c r="AM17" s="23"/>
      <c r="AN17" s="24"/>
    </row>
    <row r="18" spans="5:42" ht="15.75" thickBot="1" x14ac:dyDescent="0.25">
      <c r="E18" s="18" t="s">
        <v>4</v>
      </c>
      <c r="F18" s="1"/>
      <c r="G18" s="1"/>
      <c r="H18" s="1"/>
      <c r="I18" s="31"/>
      <c r="J18" s="31"/>
      <c r="K18" s="38"/>
      <c r="L18" s="38"/>
      <c r="M18" s="31"/>
      <c r="N18" s="31"/>
      <c r="O18" s="31"/>
      <c r="P18" s="31"/>
      <c r="Q18" s="31"/>
      <c r="R18" s="38"/>
      <c r="S18" s="38"/>
      <c r="T18" s="31"/>
      <c r="U18" s="31"/>
      <c r="V18" s="31"/>
      <c r="W18" s="31"/>
      <c r="X18" s="31"/>
      <c r="Y18" s="38"/>
      <c r="Z18" s="237" t="s">
        <v>7</v>
      </c>
      <c r="AA18" s="238"/>
      <c r="AB18" s="238"/>
      <c r="AC18" s="238"/>
      <c r="AD18" s="238"/>
      <c r="AE18" s="238"/>
      <c r="AF18" s="238"/>
      <c r="AG18" s="110"/>
      <c r="AH18" s="1"/>
      <c r="AI18" s="5"/>
      <c r="AL18" s="47"/>
      <c r="AM18" s="23"/>
      <c r="AN18" s="24"/>
    </row>
    <row r="19" spans="5:42" ht="15.75" thickBot="1" x14ac:dyDescent="0.25">
      <c r="E19" s="19"/>
      <c r="F19" s="7"/>
      <c r="G19" s="7"/>
      <c r="H19" s="7"/>
      <c r="I19" s="33"/>
      <c r="J19" s="33"/>
      <c r="K19" s="39"/>
      <c r="L19" s="39"/>
      <c r="M19" s="22" t="s">
        <v>9</v>
      </c>
      <c r="N19" s="33"/>
      <c r="O19" s="33"/>
      <c r="P19" s="33"/>
      <c r="Q19" s="33"/>
      <c r="R19" s="39"/>
      <c r="S19" s="39"/>
      <c r="T19" s="33"/>
      <c r="U19" s="33"/>
      <c r="V19" s="33"/>
      <c r="W19" s="33"/>
      <c r="X19" s="33"/>
      <c r="Y19" s="39"/>
      <c r="Z19" s="39"/>
      <c r="AA19" s="33"/>
      <c r="AB19" s="33"/>
      <c r="AC19" s="33"/>
      <c r="AD19" s="33"/>
      <c r="AE19" s="33"/>
      <c r="AF19" s="39"/>
      <c r="AG19" s="39"/>
      <c r="AH19" s="7"/>
      <c r="AI19" s="8"/>
      <c r="AL19" s="47"/>
      <c r="AM19" s="23"/>
      <c r="AN19" s="29">
        <v>1</v>
      </c>
    </row>
    <row r="20" spans="5:42" ht="15.75" thickBot="1" x14ac:dyDescent="0.25">
      <c r="AL20" s="47"/>
      <c r="AM20" s="23"/>
      <c r="AN20" s="28"/>
    </row>
    <row r="21" spans="5:42" x14ac:dyDescent="0.2">
      <c r="E21" s="194">
        <v>46082</v>
      </c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6"/>
      <c r="AK21" s="166" t="s">
        <v>0</v>
      </c>
      <c r="AL21" s="47">
        <f>SUM(AL15+2.5-AN19)</f>
        <v>67.5</v>
      </c>
      <c r="AM21" s="23"/>
      <c r="AN21" s="24"/>
    </row>
    <row r="22" spans="5:42" x14ac:dyDescent="0.2">
      <c r="E22" s="42">
        <v>1</v>
      </c>
      <c r="F22" s="1">
        <v>2</v>
      </c>
      <c r="G22" s="31">
        <v>3</v>
      </c>
      <c r="H22" s="31">
        <v>4</v>
      </c>
      <c r="I22" s="31">
        <v>5</v>
      </c>
      <c r="J22" s="31">
        <v>6</v>
      </c>
      <c r="K22" s="38">
        <v>7</v>
      </c>
      <c r="L22" s="38">
        <v>8</v>
      </c>
      <c r="M22" s="31">
        <v>9</v>
      </c>
      <c r="N22" s="31">
        <v>10</v>
      </c>
      <c r="O22" s="31">
        <v>11</v>
      </c>
      <c r="P22" s="31">
        <v>12</v>
      </c>
      <c r="Q22" s="31">
        <v>13</v>
      </c>
      <c r="R22" s="38">
        <v>14</v>
      </c>
      <c r="S22" s="38">
        <v>15</v>
      </c>
      <c r="T22" s="31">
        <v>16</v>
      </c>
      <c r="U22" s="31">
        <v>17</v>
      </c>
      <c r="V22" s="31">
        <v>18</v>
      </c>
      <c r="W22" s="31">
        <v>19</v>
      </c>
      <c r="X22" s="31">
        <v>20</v>
      </c>
      <c r="Y22" s="38">
        <v>21</v>
      </c>
      <c r="Z22" s="38">
        <v>22</v>
      </c>
      <c r="AA22" s="31">
        <v>23</v>
      </c>
      <c r="AB22" s="31">
        <v>24</v>
      </c>
      <c r="AC22" s="31">
        <v>25</v>
      </c>
      <c r="AD22" s="31">
        <v>26</v>
      </c>
      <c r="AE22" s="31">
        <v>27</v>
      </c>
      <c r="AF22" s="38">
        <v>28</v>
      </c>
      <c r="AG22" s="38">
        <v>29</v>
      </c>
      <c r="AH22" s="31">
        <v>30</v>
      </c>
      <c r="AI22" s="34">
        <v>31</v>
      </c>
      <c r="AL22" s="47"/>
      <c r="AM22" s="23"/>
      <c r="AN22" s="24"/>
    </row>
    <row r="23" spans="5:42" x14ac:dyDescent="0.2">
      <c r="E23" s="223" t="s">
        <v>5</v>
      </c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5"/>
      <c r="AL23" s="47"/>
      <c r="AM23" s="23"/>
      <c r="AN23" s="24"/>
    </row>
    <row r="24" spans="5:42" ht="15.75" thickBot="1" x14ac:dyDescent="0.25">
      <c r="E24" s="237" t="s">
        <v>6</v>
      </c>
      <c r="F24" s="239"/>
      <c r="G24" s="239"/>
      <c r="H24" s="239"/>
      <c r="I24" s="239"/>
      <c r="J24" s="239"/>
      <c r="K24" s="239"/>
      <c r="L24" s="240"/>
      <c r="M24" s="241" t="s">
        <v>10</v>
      </c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3"/>
      <c r="Y24" s="38"/>
      <c r="Z24" s="38"/>
      <c r="AA24" s="237" t="s">
        <v>13</v>
      </c>
      <c r="AB24" s="239"/>
      <c r="AC24" s="239"/>
      <c r="AD24" s="237" t="s">
        <v>14</v>
      </c>
      <c r="AE24" s="239"/>
      <c r="AF24" s="239"/>
      <c r="AG24" s="39"/>
      <c r="AH24" s="31"/>
      <c r="AI24" s="34"/>
      <c r="AL24" s="47"/>
      <c r="AM24" s="23"/>
      <c r="AN24" s="24"/>
    </row>
    <row r="25" spans="5:42" ht="15.75" thickBot="1" x14ac:dyDescent="0.25">
      <c r="E25" s="43"/>
      <c r="F25" s="7"/>
      <c r="G25" s="33"/>
      <c r="H25" s="33"/>
      <c r="I25" s="33"/>
      <c r="J25" s="33"/>
      <c r="K25" s="39"/>
      <c r="L25" s="39"/>
      <c r="M25" s="33"/>
      <c r="N25" s="33"/>
      <c r="O25" s="33"/>
      <c r="P25" s="33"/>
      <c r="Q25" s="33"/>
      <c r="R25" s="39"/>
      <c r="S25" s="39"/>
      <c r="T25" s="33"/>
      <c r="U25" s="33"/>
      <c r="V25" s="33"/>
      <c r="W25" s="33"/>
      <c r="X25" s="33"/>
      <c r="Y25" s="39"/>
      <c r="Z25" s="39"/>
      <c r="AA25" s="33"/>
      <c r="AB25" s="33"/>
      <c r="AC25" s="33"/>
      <c r="AD25" s="33"/>
      <c r="AE25" s="33"/>
      <c r="AF25" s="39"/>
      <c r="AG25" s="39"/>
      <c r="AH25" s="33"/>
      <c r="AI25" s="35"/>
      <c r="AL25" s="47"/>
      <c r="AM25" s="23"/>
      <c r="AN25" s="29">
        <v>0</v>
      </c>
    </row>
    <row r="26" spans="5:42" ht="30" thickBot="1" x14ac:dyDescent="0.45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L26" s="47"/>
      <c r="AM26" s="23"/>
      <c r="AN26" s="28"/>
      <c r="AP26" s="126" t="s">
        <v>42</v>
      </c>
    </row>
    <row r="27" spans="5:42" ht="30" thickBot="1" x14ac:dyDescent="0.45">
      <c r="E27" s="190">
        <v>46113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2"/>
      <c r="AH27" s="192"/>
      <c r="AI27" s="193"/>
      <c r="AK27" s="166" t="s">
        <v>50</v>
      </c>
      <c r="AL27" s="47">
        <v>69</v>
      </c>
      <c r="AM27" s="23"/>
      <c r="AN27" s="24"/>
      <c r="AP27" s="126">
        <v>23</v>
      </c>
    </row>
    <row r="28" spans="5:42" ht="29.25" x14ac:dyDescent="0.4">
      <c r="E28" s="36">
        <v>1</v>
      </c>
      <c r="F28" s="37">
        <v>2</v>
      </c>
      <c r="G28" s="37">
        <v>3</v>
      </c>
      <c r="H28" s="44">
        <v>4</v>
      </c>
      <c r="I28" s="44">
        <v>5</v>
      </c>
      <c r="J28" s="37">
        <v>6</v>
      </c>
      <c r="K28" s="37">
        <v>7</v>
      </c>
      <c r="L28" s="37">
        <v>8</v>
      </c>
      <c r="M28" s="37">
        <v>9</v>
      </c>
      <c r="N28" s="37">
        <v>10</v>
      </c>
      <c r="O28" s="44">
        <v>11</v>
      </c>
      <c r="P28" s="44">
        <v>12</v>
      </c>
      <c r="Q28" s="37">
        <v>13</v>
      </c>
      <c r="R28" s="37">
        <v>14</v>
      </c>
      <c r="S28" s="37">
        <v>15</v>
      </c>
      <c r="T28" s="37">
        <v>16</v>
      </c>
      <c r="U28" s="37">
        <v>17</v>
      </c>
      <c r="V28" s="44">
        <v>18</v>
      </c>
      <c r="W28" s="44">
        <v>19</v>
      </c>
      <c r="X28" s="37">
        <v>20</v>
      </c>
      <c r="Y28" s="37">
        <v>21</v>
      </c>
      <c r="Z28" s="37">
        <v>22</v>
      </c>
      <c r="AA28" s="37">
        <v>23</v>
      </c>
      <c r="AB28" s="37">
        <v>24</v>
      </c>
      <c r="AC28" s="44">
        <v>25</v>
      </c>
      <c r="AD28" s="44">
        <v>26</v>
      </c>
      <c r="AE28" s="37">
        <v>27</v>
      </c>
      <c r="AF28" s="37">
        <v>28</v>
      </c>
      <c r="AG28" s="37">
        <v>29</v>
      </c>
      <c r="AH28" s="2">
        <v>30</v>
      </c>
      <c r="AI28" s="3"/>
      <c r="AL28" s="47"/>
      <c r="AM28" s="23"/>
      <c r="AN28" s="24"/>
      <c r="AP28" s="126"/>
    </row>
    <row r="29" spans="5:42" ht="29.25" customHeight="1" x14ac:dyDescent="0.4">
      <c r="E29" s="230" t="s">
        <v>19</v>
      </c>
      <c r="F29" s="231"/>
      <c r="G29" s="232"/>
      <c r="H29" s="223" t="s">
        <v>5</v>
      </c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157"/>
      <c r="AI29" s="71"/>
      <c r="AL29" s="47"/>
      <c r="AM29" s="23"/>
      <c r="AN29" s="24"/>
      <c r="AP29" s="126"/>
    </row>
    <row r="30" spans="5:42" ht="30" thickBot="1" x14ac:dyDescent="0.45">
      <c r="E30" s="30"/>
      <c r="F30" s="31"/>
      <c r="G30" s="31"/>
      <c r="H30" s="38"/>
      <c r="I30" s="38"/>
      <c r="J30" s="31"/>
      <c r="K30" s="31"/>
      <c r="L30" s="31"/>
      <c r="M30" s="31"/>
      <c r="N30" s="31"/>
      <c r="O30" s="38"/>
      <c r="P30" s="38"/>
      <c r="Q30" s="31"/>
      <c r="R30" s="31"/>
      <c r="S30" s="31"/>
      <c r="T30" s="31"/>
      <c r="U30" s="31"/>
      <c r="V30" s="38"/>
      <c r="W30" s="38"/>
      <c r="X30" s="33"/>
      <c r="Y30" s="33"/>
      <c r="Z30" s="33"/>
      <c r="AA30" s="33"/>
      <c r="AB30" s="33"/>
      <c r="AC30" s="39"/>
      <c r="AD30" s="39"/>
      <c r="AE30" s="33"/>
      <c r="AF30" s="33"/>
      <c r="AG30" s="33"/>
      <c r="AH30" s="7"/>
      <c r="AI30" s="8"/>
      <c r="AL30" s="47"/>
      <c r="AM30" s="23"/>
      <c r="AN30" s="24"/>
      <c r="AP30" s="126"/>
    </row>
    <row r="31" spans="5:42" ht="30" thickBot="1" x14ac:dyDescent="0.45">
      <c r="E31" s="32"/>
      <c r="F31" s="33"/>
      <c r="G31" s="33"/>
      <c r="H31" s="39"/>
      <c r="I31" s="39"/>
      <c r="J31" s="33"/>
      <c r="K31" s="33"/>
      <c r="L31" s="33"/>
      <c r="M31" s="33"/>
      <c r="N31" s="33"/>
      <c r="O31" s="39"/>
      <c r="P31" s="39"/>
      <c r="Q31" s="33"/>
      <c r="R31" s="33"/>
      <c r="S31" s="33"/>
      <c r="T31" s="33"/>
      <c r="U31" s="33"/>
      <c r="V31" s="39"/>
      <c r="W31" s="39"/>
      <c r="X31" s="33"/>
      <c r="Y31" s="33"/>
      <c r="Z31" s="33"/>
      <c r="AA31" s="33"/>
      <c r="AB31" s="33"/>
      <c r="AC31" s="39"/>
      <c r="AD31" s="39"/>
      <c r="AE31" s="33"/>
      <c r="AF31" s="33"/>
      <c r="AG31" s="33"/>
      <c r="AH31" s="7"/>
      <c r="AI31" s="8"/>
      <c r="AL31" s="47"/>
      <c r="AM31" s="23"/>
      <c r="AN31" s="29">
        <v>4</v>
      </c>
      <c r="AP31" s="126">
        <f>SUM(AP27-AN31)</f>
        <v>19</v>
      </c>
    </row>
    <row r="32" spans="5:42" ht="30" thickBot="1" x14ac:dyDescent="0.45">
      <c r="AL32" s="47"/>
      <c r="AM32" s="23"/>
      <c r="AN32" s="24"/>
      <c r="AP32" s="126"/>
    </row>
    <row r="33" spans="2:42" ht="29.25" x14ac:dyDescent="0.4">
      <c r="E33" s="194">
        <v>46143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6"/>
      <c r="AK33" s="166" t="s">
        <v>51</v>
      </c>
      <c r="AL33" s="47">
        <v>68</v>
      </c>
      <c r="AM33" s="23"/>
      <c r="AN33" s="24"/>
      <c r="AP33" s="126"/>
    </row>
    <row r="34" spans="2:42" ht="29.25" x14ac:dyDescent="0.4">
      <c r="E34" s="4">
        <v>1</v>
      </c>
      <c r="F34" s="38">
        <v>2</v>
      </c>
      <c r="G34" s="38">
        <v>3</v>
      </c>
      <c r="H34" s="31">
        <v>4</v>
      </c>
      <c r="I34" s="31">
        <v>5</v>
      </c>
      <c r="J34" s="31">
        <v>6</v>
      </c>
      <c r="K34" s="31">
        <v>7</v>
      </c>
      <c r="L34" s="31">
        <v>8</v>
      </c>
      <c r="M34" s="38">
        <v>9</v>
      </c>
      <c r="N34" s="38">
        <v>10</v>
      </c>
      <c r="O34" s="31">
        <v>11</v>
      </c>
      <c r="P34" s="31">
        <v>12</v>
      </c>
      <c r="Q34" s="31">
        <v>13</v>
      </c>
      <c r="R34" s="31">
        <v>14</v>
      </c>
      <c r="S34" s="31">
        <v>15</v>
      </c>
      <c r="T34" s="38">
        <v>16</v>
      </c>
      <c r="U34" s="38">
        <v>17</v>
      </c>
      <c r="V34" s="31">
        <v>18</v>
      </c>
      <c r="W34" s="31">
        <v>19</v>
      </c>
      <c r="X34" s="31">
        <v>20</v>
      </c>
      <c r="Y34" s="31">
        <v>21</v>
      </c>
      <c r="Z34" s="31">
        <v>22</v>
      </c>
      <c r="AA34" s="38">
        <v>23</v>
      </c>
      <c r="AB34" s="38">
        <v>24</v>
      </c>
      <c r="AC34" s="31">
        <v>25</v>
      </c>
      <c r="AD34" s="31">
        <v>26</v>
      </c>
      <c r="AE34" s="31">
        <v>27</v>
      </c>
      <c r="AF34" s="31">
        <v>28</v>
      </c>
      <c r="AG34" s="31">
        <v>29</v>
      </c>
      <c r="AH34" s="38">
        <v>30</v>
      </c>
      <c r="AI34" s="40">
        <v>31</v>
      </c>
      <c r="AL34" s="47"/>
      <c r="AM34" s="23"/>
      <c r="AN34" s="24"/>
      <c r="AP34" s="126"/>
    </row>
    <row r="35" spans="2:42" ht="29.25" x14ac:dyDescent="0.4">
      <c r="E35" s="158" t="s">
        <v>87</v>
      </c>
      <c r="F35" s="223" t="s">
        <v>5</v>
      </c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5"/>
      <c r="AL35" s="47"/>
      <c r="AM35" s="23"/>
      <c r="AN35" s="24"/>
      <c r="AP35" s="126"/>
    </row>
    <row r="36" spans="2:42" ht="30" thickBot="1" x14ac:dyDescent="0.45">
      <c r="E36" s="4"/>
      <c r="F36" s="38"/>
      <c r="G36" s="38"/>
      <c r="H36" s="31"/>
      <c r="I36" s="31"/>
      <c r="J36" s="31"/>
      <c r="K36" s="31"/>
      <c r="L36" s="31"/>
      <c r="M36" s="38"/>
      <c r="N36" s="38"/>
      <c r="O36" s="31"/>
      <c r="P36" s="31"/>
      <c r="Q36" s="31"/>
      <c r="R36" s="31"/>
      <c r="S36" s="31"/>
      <c r="T36" s="38"/>
      <c r="U36" s="38"/>
      <c r="V36" s="31"/>
      <c r="W36" s="31"/>
      <c r="X36" s="31"/>
      <c r="Y36" s="31"/>
      <c r="Z36" s="31"/>
      <c r="AA36" s="38"/>
      <c r="AB36" s="38"/>
      <c r="AC36" s="31"/>
      <c r="AD36" s="31"/>
      <c r="AE36" s="31"/>
      <c r="AF36" s="31"/>
      <c r="AG36" s="31"/>
      <c r="AH36" s="38"/>
      <c r="AI36" s="40"/>
      <c r="AL36" s="47"/>
      <c r="AM36" s="23"/>
      <c r="AN36" s="24"/>
      <c r="AP36" s="126"/>
    </row>
    <row r="37" spans="2:42" ht="30" thickBot="1" x14ac:dyDescent="0.45">
      <c r="E37" s="6"/>
      <c r="F37" s="39"/>
      <c r="G37" s="39"/>
      <c r="H37" s="33"/>
      <c r="I37" s="33"/>
      <c r="J37" s="33"/>
      <c r="K37" s="33"/>
      <c r="L37" s="33"/>
      <c r="M37" s="39"/>
      <c r="N37" s="39"/>
      <c r="O37" s="33"/>
      <c r="P37" s="33"/>
      <c r="Q37" s="33"/>
      <c r="R37" s="33"/>
      <c r="S37" s="33"/>
      <c r="T37" s="39"/>
      <c r="U37" s="39"/>
      <c r="V37" s="33"/>
      <c r="W37" s="33"/>
      <c r="X37" s="33"/>
      <c r="Y37" s="33"/>
      <c r="Z37" s="33"/>
      <c r="AA37" s="39"/>
      <c r="AB37" s="39"/>
      <c r="AC37" s="33"/>
      <c r="AD37" s="33"/>
      <c r="AE37" s="33"/>
      <c r="AF37" s="33"/>
      <c r="AG37" s="33"/>
      <c r="AH37" s="39"/>
      <c r="AI37" s="41"/>
      <c r="AL37" s="47"/>
      <c r="AM37" s="23"/>
      <c r="AN37" s="29">
        <v>1</v>
      </c>
      <c r="AP37" s="126">
        <f>SUM(AP31-AN37)</f>
        <v>18</v>
      </c>
    </row>
    <row r="38" spans="2:42" ht="30" thickBot="1" x14ac:dyDescent="0.4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L38" s="47"/>
      <c r="AM38" s="23"/>
      <c r="AN38" s="24"/>
      <c r="AP38" s="126"/>
    </row>
    <row r="39" spans="2:42" ht="30" thickBot="1" x14ac:dyDescent="0.45">
      <c r="E39" s="190">
        <v>46174</v>
      </c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2"/>
      <c r="AH39" s="192"/>
      <c r="AI39" s="193"/>
      <c r="AK39" s="166" t="s">
        <v>52</v>
      </c>
      <c r="AL39" s="47">
        <f>SUM(AL33+2.5-AN37)</f>
        <v>69.5</v>
      </c>
      <c r="AM39" s="23"/>
      <c r="AN39" s="24"/>
      <c r="AP39" s="126"/>
    </row>
    <row r="40" spans="2:42" ht="29.25" x14ac:dyDescent="0.4">
      <c r="E40" s="36">
        <v>1</v>
      </c>
      <c r="F40" s="37">
        <v>2</v>
      </c>
      <c r="G40" s="37">
        <v>3</v>
      </c>
      <c r="H40" s="37">
        <v>4</v>
      </c>
      <c r="I40" s="37">
        <v>5</v>
      </c>
      <c r="J40" s="44">
        <v>6</v>
      </c>
      <c r="K40" s="44">
        <v>7</v>
      </c>
      <c r="L40" s="37">
        <v>8</v>
      </c>
      <c r="M40" s="37">
        <v>9</v>
      </c>
      <c r="N40" s="37">
        <v>10</v>
      </c>
      <c r="O40" s="37">
        <v>11</v>
      </c>
      <c r="P40" s="37">
        <v>12</v>
      </c>
      <c r="Q40" s="44">
        <v>13</v>
      </c>
      <c r="R40" s="44">
        <v>14</v>
      </c>
      <c r="S40" s="37">
        <v>15</v>
      </c>
      <c r="T40" s="37">
        <v>16</v>
      </c>
      <c r="U40" s="37">
        <v>17</v>
      </c>
      <c r="V40" s="37">
        <v>18</v>
      </c>
      <c r="W40" s="37">
        <v>19</v>
      </c>
      <c r="X40" s="44">
        <v>20</v>
      </c>
      <c r="Y40" s="44">
        <v>21</v>
      </c>
      <c r="Z40" s="37">
        <v>22</v>
      </c>
      <c r="AA40" s="37">
        <v>23</v>
      </c>
      <c r="AB40" s="37">
        <v>24</v>
      </c>
      <c r="AC40" s="37">
        <v>25</v>
      </c>
      <c r="AD40" s="37">
        <v>26</v>
      </c>
      <c r="AE40" s="44">
        <v>27</v>
      </c>
      <c r="AF40" s="44">
        <v>28</v>
      </c>
      <c r="AG40" s="37">
        <v>29</v>
      </c>
      <c r="AH40" s="2">
        <v>30</v>
      </c>
      <c r="AI40" s="3"/>
      <c r="AL40" s="47"/>
      <c r="AM40" s="23"/>
      <c r="AN40" s="24"/>
      <c r="AP40" s="126"/>
    </row>
    <row r="41" spans="2:42" ht="29.25" x14ac:dyDescent="0.4">
      <c r="E41" s="223" t="s">
        <v>5</v>
      </c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6"/>
      <c r="AI41" s="5"/>
      <c r="AL41" s="47"/>
      <c r="AM41" s="23"/>
      <c r="AN41" s="24"/>
      <c r="AP41" s="126"/>
    </row>
    <row r="42" spans="2:42" ht="30" thickBot="1" x14ac:dyDescent="0.45">
      <c r="E42" s="30"/>
      <c r="F42" s="31"/>
      <c r="G42" s="31"/>
      <c r="H42" s="31"/>
      <c r="I42" s="31"/>
      <c r="J42" s="38"/>
      <c r="K42" s="38"/>
      <c r="L42" s="31"/>
      <c r="M42" s="31"/>
      <c r="N42" s="87" t="str">
        <f>(E140)</f>
        <v>VA Individual Appointments</v>
      </c>
      <c r="O42" s="31"/>
      <c r="P42" s="31"/>
      <c r="Q42" s="38"/>
      <c r="R42" s="38"/>
      <c r="S42" s="31"/>
      <c r="T42" s="31"/>
      <c r="U42" s="31"/>
      <c r="V42" s="31"/>
      <c r="W42" s="31"/>
      <c r="X42" s="38"/>
      <c r="Y42" s="38"/>
      <c r="Z42" s="31"/>
      <c r="AA42" s="31"/>
      <c r="AB42" s="31"/>
      <c r="AC42" s="31"/>
      <c r="AD42" s="31"/>
      <c r="AE42" s="38"/>
      <c r="AF42" s="38"/>
      <c r="AG42" s="31"/>
      <c r="AH42" s="1"/>
      <c r="AI42" s="5"/>
      <c r="AL42" s="47"/>
      <c r="AM42" s="23"/>
      <c r="AN42" s="24"/>
      <c r="AP42" s="126"/>
    </row>
    <row r="43" spans="2:42" ht="30" thickBot="1" x14ac:dyDescent="0.45">
      <c r="E43" s="32"/>
      <c r="F43" s="33"/>
      <c r="G43" s="33"/>
      <c r="H43" s="33"/>
      <c r="I43" s="33"/>
      <c r="J43" s="39"/>
      <c r="K43" s="39"/>
      <c r="L43" s="33"/>
      <c r="M43" s="33"/>
      <c r="N43" s="33"/>
      <c r="O43" s="33"/>
      <c r="P43" s="33"/>
      <c r="Q43" s="39"/>
      <c r="R43" s="39"/>
      <c r="S43" s="33"/>
      <c r="T43" s="33"/>
      <c r="U43" s="33"/>
      <c r="V43" s="33"/>
      <c r="W43" s="143" t="s">
        <v>91</v>
      </c>
      <c r="X43" s="127" t="s">
        <v>43</v>
      </c>
      <c r="Y43" s="39"/>
      <c r="Z43" s="33"/>
      <c r="AA43" s="33"/>
      <c r="AB43" s="33"/>
      <c r="AC43" s="33"/>
      <c r="AD43" s="33"/>
      <c r="AE43" s="39"/>
      <c r="AF43" s="39"/>
      <c r="AG43" s="33"/>
      <c r="AH43" s="7"/>
      <c r="AI43" s="8"/>
      <c r="AL43" s="47"/>
      <c r="AM43" s="23"/>
      <c r="AN43" s="29">
        <v>0</v>
      </c>
      <c r="AP43" s="126">
        <f>SUM(AP37-AN43)</f>
        <v>18</v>
      </c>
    </row>
    <row r="44" spans="2:42" ht="30" thickBot="1" x14ac:dyDescent="0.45"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6"/>
      <c r="AK44" s="106"/>
      <c r="AL44" s="107"/>
      <c r="AM44" s="108"/>
      <c r="AN44" s="109"/>
      <c r="AP44" s="126"/>
    </row>
    <row r="45" spans="2:42" ht="29.25" customHeight="1" x14ac:dyDescent="0.4">
      <c r="B45" s="244" t="s">
        <v>39</v>
      </c>
      <c r="C45" s="244"/>
      <c r="D45" s="179"/>
      <c r="E45" s="194">
        <v>46204</v>
      </c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6"/>
      <c r="AK45" s="166" t="s">
        <v>53</v>
      </c>
      <c r="AL45" s="47">
        <f>SUM(AL39+2.5-AN43)</f>
        <v>72</v>
      </c>
      <c r="AM45" s="23"/>
      <c r="AN45" s="24"/>
      <c r="AP45" s="126"/>
    </row>
    <row r="46" spans="2:42" ht="29.25" x14ac:dyDescent="0.4">
      <c r="B46" s="244"/>
      <c r="C46" s="244"/>
      <c r="D46" s="179"/>
      <c r="E46" s="4">
        <v>1</v>
      </c>
      <c r="F46" s="1">
        <v>2</v>
      </c>
      <c r="G46" s="1">
        <v>3</v>
      </c>
      <c r="H46" s="10">
        <v>4</v>
      </c>
      <c r="I46" s="10">
        <v>5</v>
      </c>
      <c r="J46" s="1">
        <v>6</v>
      </c>
      <c r="K46" s="1">
        <v>7</v>
      </c>
      <c r="L46" s="1">
        <v>8</v>
      </c>
      <c r="M46" s="1">
        <v>9</v>
      </c>
      <c r="N46" s="1">
        <v>10</v>
      </c>
      <c r="O46" s="10">
        <v>11</v>
      </c>
      <c r="P46" s="10">
        <v>12</v>
      </c>
      <c r="Q46" s="1">
        <v>13</v>
      </c>
      <c r="R46" s="1">
        <v>14</v>
      </c>
      <c r="S46" s="1">
        <v>15</v>
      </c>
      <c r="T46" s="1">
        <v>16</v>
      </c>
      <c r="U46" s="1">
        <v>17</v>
      </c>
      <c r="V46" s="10">
        <v>18</v>
      </c>
      <c r="W46" s="10">
        <v>19</v>
      </c>
      <c r="X46" s="1">
        <v>20</v>
      </c>
      <c r="Y46" s="1">
        <v>21</v>
      </c>
      <c r="Z46" s="1">
        <v>22</v>
      </c>
      <c r="AA46" s="1">
        <v>23</v>
      </c>
      <c r="AB46" s="1">
        <v>24</v>
      </c>
      <c r="AC46" s="10">
        <v>25</v>
      </c>
      <c r="AD46" s="10">
        <v>26</v>
      </c>
      <c r="AE46" s="1">
        <v>27</v>
      </c>
      <c r="AF46" s="1">
        <v>28</v>
      </c>
      <c r="AG46" s="1">
        <v>29</v>
      </c>
      <c r="AH46" s="1">
        <v>30</v>
      </c>
      <c r="AI46" s="5">
        <v>31</v>
      </c>
      <c r="AL46" s="47"/>
      <c r="AM46" s="23"/>
      <c r="AN46" s="24"/>
      <c r="AP46" s="126"/>
    </row>
    <row r="47" spans="2:42" ht="30" thickBot="1" x14ac:dyDescent="0.45">
      <c r="B47" s="244"/>
      <c r="C47" s="244"/>
      <c r="D47" s="179"/>
      <c r="E47" s="200" t="s">
        <v>5</v>
      </c>
      <c r="F47" s="201"/>
      <c r="G47" s="22" t="s">
        <v>3</v>
      </c>
      <c r="H47" s="10"/>
      <c r="I47" s="10"/>
      <c r="J47" s="201" t="s">
        <v>141</v>
      </c>
      <c r="K47" s="201"/>
      <c r="L47" s="201"/>
      <c r="M47" s="201"/>
      <c r="N47" s="201"/>
      <c r="O47" s="10"/>
      <c r="P47" s="10"/>
      <c r="Q47" s="66" t="s">
        <v>109</v>
      </c>
      <c r="R47" s="200" t="s">
        <v>146</v>
      </c>
      <c r="S47" s="201"/>
      <c r="T47" s="201"/>
      <c r="U47" s="201"/>
      <c r="V47" s="10"/>
      <c r="W47" s="10"/>
      <c r="X47" s="250" t="str">
        <f>(E135)</f>
        <v>Entrepreneurship 2-Day Seminar</v>
      </c>
      <c r="Y47" s="251"/>
      <c r="Z47" s="261" t="s">
        <v>147</v>
      </c>
      <c r="AA47" s="201"/>
      <c r="AB47" s="202"/>
      <c r="AC47" s="10"/>
      <c r="AD47" s="10"/>
      <c r="AE47" s="201" t="s">
        <v>141</v>
      </c>
      <c r="AF47" s="201"/>
      <c r="AG47" s="201"/>
      <c r="AH47" s="201"/>
      <c r="AI47" s="201"/>
      <c r="AL47" s="47"/>
      <c r="AM47" s="23"/>
      <c r="AN47" s="24"/>
      <c r="AP47" s="126"/>
    </row>
    <row r="48" spans="2:42" ht="30" thickBot="1" x14ac:dyDescent="0.45">
      <c r="B48" s="244"/>
      <c r="C48" s="244"/>
      <c r="D48" s="179"/>
      <c r="E48" s="4"/>
      <c r="F48" s="1"/>
      <c r="G48" s="1"/>
      <c r="H48" s="10"/>
      <c r="I48" s="10"/>
      <c r="J48" s="1"/>
      <c r="K48" s="90" t="str">
        <f>(E133)</f>
        <v>Pre Separation Brief</v>
      </c>
      <c r="L48" s="1"/>
      <c r="M48" s="1"/>
      <c r="N48" s="1"/>
      <c r="O48" s="10"/>
      <c r="P48" s="10"/>
      <c r="Q48" s="245" t="str">
        <f>(E134)</f>
        <v>Three-Day Transition Workshop</v>
      </c>
      <c r="R48" s="246"/>
      <c r="S48" s="247"/>
      <c r="T48" s="248" t="str">
        <f>(E137)</f>
        <v>Employment 2 Day Seminar</v>
      </c>
      <c r="U48" s="249"/>
      <c r="V48" s="10"/>
      <c r="W48" s="10"/>
      <c r="X48" s="7"/>
      <c r="Y48" s="7"/>
      <c r="Z48" s="1"/>
      <c r="AA48" s="1"/>
      <c r="AB48" s="1"/>
      <c r="AC48" s="10"/>
      <c r="AD48" s="10"/>
      <c r="AE48" s="1"/>
      <c r="AF48" s="90" t="str">
        <f>(E133)</f>
        <v>Pre Separation Brief</v>
      </c>
      <c r="AG48" s="1"/>
      <c r="AH48" s="259" t="str">
        <f>(E136)</f>
        <v>Career &amp; Credential Exploration 2 Day Seminar</v>
      </c>
      <c r="AI48" s="260"/>
      <c r="AL48" s="47"/>
      <c r="AM48" s="23"/>
      <c r="AN48" s="24"/>
      <c r="AP48" s="126"/>
    </row>
    <row r="49" spans="2:95" ht="30" thickBot="1" x14ac:dyDescent="0.45">
      <c r="B49" s="244"/>
      <c r="C49" s="244"/>
      <c r="D49" s="179"/>
      <c r="E49" s="6"/>
      <c r="F49" s="7"/>
      <c r="G49" s="22" t="s">
        <v>3</v>
      </c>
      <c r="H49" s="11"/>
      <c r="I49" s="11"/>
      <c r="J49" s="7"/>
      <c r="K49" s="7"/>
      <c r="L49" s="7"/>
      <c r="M49" s="7"/>
      <c r="N49" s="7"/>
      <c r="O49" s="11"/>
      <c r="P49" s="11"/>
      <c r="Q49" s="7"/>
      <c r="R49" s="7"/>
      <c r="S49" s="87" t="str">
        <f>(E140)</f>
        <v>VA Individual Appointments</v>
      </c>
      <c r="T49" s="76"/>
      <c r="U49" s="77"/>
      <c r="V49" s="11"/>
      <c r="W49" s="11"/>
      <c r="X49" s="7"/>
      <c r="Y49" s="7"/>
      <c r="Z49" s="7"/>
      <c r="AA49" s="7"/>
      <c r="AB49" s="7"/>
      <c r="AC49" s="11"/>
      <c r="AD49" s="11"/>
      <c r="AE49" s="161"/>
      <c r="AF49" s="7"/>
      <c r="AG49" s="7"/>
      <c r="AH49" s="7"/>
      <c r="AI49" s="7"/>
      <c r="AL49" s="47"/>
      <c r="AM49" s="23"/>
      <c r="AN49" s="29">
        <v>0</v>
      </c>
      <c r="AP49" s="126">
        <f>SUM(AP43-AN49)</f>
        <v>18</v>
      </c>
    </row>
    <row r="50" spans="2:95" ht="30" thickBot="1" x14ac:dyDescent="0.45">
      <c r="B50" s="244"/>
      <c r="C50" s="244"/>
      <c r="D50" s="179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7"/>
      <c r="AP50" s="126"/>
    </row>
    <row r="51" spans="2:95" ht="29.25" x14ac:dyDescent="0.4">
      <c r="B51" s="244"/>
      <c r="C51" s="244"/>
      <c r="D51" s="179"/>
      <c r="E51" s="194">
        <v>46235</v>
      </c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6"/>
      <c r="AK51" s="166" t="s">
        <v>54</v>
      </c>
      <c r="AL51" s="47">
        <f>SUM(AL45+2.5-AN49)</f>
        <v>74.5</v>
      </c>
      <c r="AM51" s="23"/>
      <c r="AN51" s="24"/>
      <c r="AP51" s="126"/>
    </row>
    <row r="52" spans="2:95" ht="30" thickBot="1" x14ac:dyDescent="0.45">
      <c r="B52" s="244"/>
      <c r="C52" s="244"/>
      <c r="D52" s="179"/>
      <c r="E52" s="12">
        <v>1</v>
      </c>
      <c r="F52" s="10">
        <v>2</v>
      </c>
      <c r="G52" s="1">
        <v>3</v>
      </c>
      <c r="H52" s="1">
        <v>4</v>
      </c>
      <c r="I52" s="1">
        <v>5</v>
      </c>
      <c r="J52" s="1">
        <v>6</v>
      </c>
      <c r="K52" s="1">
        <v>7</v>
      </c>
      <c r="L52" s="10">
        <v>8</v>
      </c>
      <c r="M52" s="10">
        <v>9</v>
      </c>
      <c r="N52" s="1">
        <v>10</v>
      </c>
      <c r="O52" s="1">
        <v>11</v>
      </c>
      <c r="P52" s="1">
        <v>12</v>
      </c>
      <c r="Q52" s="1">
        <v>13</v>
      </c>
      <c r="R52" s="1">
        <v>14</v>
      </c>
      <c r="S52" s="10">
        <v>15</v>
      </c>
      <c r="T52" s="10">
        <v>16</v>
      </c>
      <c r="U52" s="1">
        <v>17</v>
      </c>
      <c r="V52" s="1">
        <v>18</v>
      </c>
      <c r="W52" s="1">
        <v>19</v>
      </c>
      <c r="X52" s="1">
        <v>20</v>
      </c>
      <c r="Y52" s="1">
        <v>21</v>
      </c>
      <c r="Z52" s="10">
        <v>22</v>
      </c>
      <c r="AA52" s="10">
        <v>23</v>
      </c>
      <c r="AB52" s="1">
        <v>24</v>
      </c>
      <c r="AC52" s="1">
        <v>25</v>
      </c>
      <c r="AD52" s="1">
        <v>26</v>
      </c>
      <c r="AE52" s="1">
        <v>27</v>
      </c>
      <c r="AF52" s="1">
        <v>28</v>
      </c>
      <c r="AG52" s="10">
        <v>29</v>
      </c>
      <c r="AH52" s="10">
        <v>30</v>
      </c>
      <c r="AI52" s="5">
        <v>31</v>
      </c>
      <c r="AJ52" s="56"/>
      <c r="AK52" s="56"/>
      <c r="AL52" s="47"/>
      <c r="AM52" s="23"/>
      <c r="AN52" s="24"/>
      <c r="AP52" s="126"/>
    </row>
    <row r="53" spans="2:95" ht="30" thickBot="1" x14ac:dyDescent="0.45">
      <c r="B53" s="244"/>
      <c r="C53" s="244"/>
      <c r="D53" s="179"/>
      <c r="E53" s="74"/>
      <c r="F53" s="10"/>
      <c r="G53" s="307" t="s">
        <v>108</v>
      </c>
      <c r="H53" s="307"/>
      <c r="I53" s="307"/>
      <c r="J53" s="307"/>
      <c r="K53" s="307"/>
      <c r="L53" s="74"/>
      <c r="M53" s="10"/>
      <c r="N53" s="170" t="s">
        <v>148</v>
      </c>
      <c r="O53" s="90" t="str">
        <f>(E132)</f>
        <v>Initial Individual Counseling</v>
      </c>
      <c r="P53" s="170" t="s">
        <v>148</v>
      </c>
      <c r="Q53" s="253" t="str">
        <f>(E138)</f>
        <v>Education  2 Day Seminar</v>
      </c>
      <c r="R53" s="254"/>
      <c r="S53" s="74"/>
      <c r="T53" s="10"/>
      <c r="U53" s="255" t="str">
        <f>(E134)</f>
        <v>Three-Day Transition Workshop</v>
      </c>
      <c r="V53" s="256"/>
      <c r="W53" s="256"/>
      <c r="X53" s="257" t="str">
        <f>(E137)</f>
        <v>Employment 2 Day Seminar</v>
      </c>
      <c r="Y53" s="258"/>
      <c r="Z53" s="74"/>
      <c r="AA53" s="10"/>
      <c r="AB53" s="349" t="s">
        <v>150</v>
      </c>
      <c r="AC53" s="307"/>
      <c r="AD53" s="307"/>
      <c r="AE53" s="307"/>
      <c r="AF53" s="307"/>
      <c r="AG53" s="307"/>
      <c r="AH53" s="307"/>
      <c r="AI53" s="350"/>
      <c r="AJ53" s="166">
        <v>3</v>
      </c>
      <c r="AL53" s="47"/>
      <c r="AM53" s="23"/>
      <c r="AN53" s="24"/>
      <c r="AP53" s="126"/>
    </row>
    <row r="54" spans="2:95" ht="30" thickBot="1" x14ac:dyDescent="0.45">
      <c r="B54" s="244"/>
      <c r="C54" s="244"/>
      <c r="D54" s="179"/>
      <c r="E54" s="12"/>
      <c r="F54" s="10"/>
      <c r="G54" s="1"/>
      <c r="H54" s="90" t="str">
        <f>(E133)</f>
        <v>Pre Separation Brief</v>
      </c>
      <c r="I54" s="1"/>
      <c r="J54" s="1"/>
      <c r="K54" s="1"/>
      <c r="L54" s="10"/>
      <c r="M54" s="10"/>
      <c r="N54" s="1"/>
      <c r="O54" s="170" t="s">
        <v>148</v>
      </c>
      <c r="P54" s="1"/>
      <c r="Q54" s="1"/>
      <c r="R54" s="1"/>
      <c r="S54" s="10"/>
      <c r="T54" s="75"/>
      <c r="U54" s="1"/>
      <c r="V54" s="1"/>
      <c r="W54" s="1"/>
      <c r="X54" s="1"/>
      <c r="Y54" s="1"/>
      <c r="Z54" s="74"/>
      <c r="AA54" s="10"/>
      <c r="AB54" s="1"/>
      <c r="AC54" s="1"/>
      <c r="AD54" s="1"/>
      <c r="AE54" s="1"/>
      <c r="AF54" s="1"/>
      <c r="AG54" s="10"/>
      <c r="AH54" s="10"/>
      <c r="AI54" s="5"/>
      <c r="AL54" s="47"/>
      <c r="AM54" s="23"/>
      <c r="AN54" s="24"/>
      <c r="AP54" s="126"/>
    </row>
    <row r="55" spans="2:95" ht="30" thickBot="1" x14ac:dyDescent="0.45">
      <c r="B55" s="244"/>
      <c r="C55" s="244"/>
      <c r="D55" s="179"/>
      <c r="E55" s="13"/>
      <c r="F55" s="11"/>
      <c r="G55" s="7"/>
      <c r="H55" s="7"/>
      <c r="I55" s="7"/>
      <c r="J55" s="7"/>
      <c r="K55" s="7"/>
      <c r="L55" s="11"/>
      <c r="M55" s="301" t="s">
        <v>106</v>
      </c>
      <c r="N55" s="302"/>
      <c r="O55" s="302"/>
      <c r="P55" s="302"/>
      <c r="Q55" s="302"/>
      <c r="R55" s="302"/>
      <c r="S55" s="303"/>
      <c r="T55" s="11"/>
      <c r="U55" s="73"/>
      <c r="V55" s="73"/>
      <c r="W55" s="73"/>
      <c r="X55" s="73"/>
      <c r="Y55" s="73"/>
      <c r="Z55" s="11"/>
      <c r="AA55" s="11"/>
      <c r="AB55" s="7"/>
      <c r="AC55" s="7"/>
      <c r="AD55" s="7"/>
      <c r="AE55" s="7"/>
      <c r="AF55" s="7"/>
      <c r="AG55" s="11"/>
      <c r="AH55" s="11"/>
      <c r="AI55" s="8"/>
      <c r="AL55" s="47"/>
      <c r="AM55" s="23"/>
      <c r="AN55" s="29">
        <v>13</v>
      </c>
      <c r="AP55" s="126">
        <f>SUM(AP49-AN55)</f>
        <v>5</v>
      </c>
    </row>
    <row r="56" spans="2:95" ht="30" thickBot="1" x14ac:dyDescent="0.45">
      <c r="B56" s="244"/>
      <c r="C56" s="244"/>
      <c r="D56" s="179"/>
      <c r="AL56" s="47"/>
      <c r="AM56" s="23"/>
      <c r="AN56" s="24"/>
      <c r="AP56" s="126"/>
    </row>
    <row r="57" spans="2:95" ht="29.25" x14ac:dyDescent="0.4">
      <c r="B57" s="244"/>
      <c r="C57" s="244"/>
      <c r="D57" s="179"/>
      <c r="E57" s="194">
        <v>46266</v>
      </c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6"/>
      <c r="AK57" s="166" t="s">
        <v>55</v>
      </c>
      <c r="AL57" s="47">
        <f>SUM(AL51+2.5-AN55)</f>
        <v>64</v>
      </c>
      <c r="AM57" s="23"/>
      <c r="AN57" s="24"/>
      <c r="AP57" s="126"/>
    </row>
    <row r="58" spans="2:95" ht="29.25" x14ac:dyDescent="0.4">
      <c r="B58" s="244"/>
      <c r="C58" s="244"/>
      <c r="D58" s="179"/>
      <c r="E58" s="4">
        <v>1</v>
      </c>
      <c r="F58" s="1">
        <v>2</v>
      </c>
      <c r="G58" s="1">
        <v>3</v>
      </c>
      <c r="H58" s="1">
        <v>4</v>
      </c>
      <c r="I58" s="10">
        <v>5</v>
      </c>
      <c r="J58" s="10">
        <v>6</v>
      </c>
      <c r="K58" s="1">
        <v>7</v>
      </c>
      <c r="L58" s="1">
        <v>8</v>
      </c>
      <c r="M58" s="1">
        <v>9</v>
      </c>
      <c r="N58" s="1">
        <v>10</v>
      </c>
      <c r="O58" s="1">
        <v>11</v>
      </c>
      <c r="P58" s="10">
        <v>12</v>
      </c>
      <c r="Q58" s="10">
        <v>13</v>
      </c>
      <c r="R58" s="1">
        <v>14</v>
      </c>
      <c r="S58" s="1">
        <v>15</v>
      </c>
      <c r="T58" s="1">
        <v>16</v>
      </c>
      <c r="U58" s="1">
        <v>17</v>
      </c>
      <c r="V58" s="1">
        <v>18</v>
      </c>
      <c r="W58" s="10">
        <v>19</v>
      </c>
      <c r="X58" s="10">
        <v>20</v>
      </c>
      <c r="Y58" s="1">
        <v>21</v>
      </c>
      <c r="Z58" s="1">
        <v>22</v>
      </c>
      <c r="AA58" s="1">
        <v>23</v>
      </c>
      <c r="AB58" s="1">
        <v>24</v>
      </c>
      <c r="AC58" s="1">
        <v>25</v>
      </c>
      <c r="AD58" s="10">
        <v>26</v>
      </c>
      <c r="AE58" s="10">
        <v>27</v>
      </c>
      <c r="AF58" s="1">
        <v>28</v>
      </c>
      <c r="AG58" s="1">
        <v>29</v>
      </c>
      <c r="AH58" s="1">
        <v>30</v>
      </c>
      <c r="AI58" s="5"/>
      <c r="AL58" s="47"/>
      <c r="AM58" s="23"/>
      <c r="AN58" s="24"/>
      <c r="AP58" s="126"/>
    </row>
    <row r="59" spans="2:95" ht="29.25" x14ac:dyDescent="0.4">
      <c r="B59" s="244"/>
      <c r="C59" s="244"/>
      <c r="D59" s="179"/>
      <c r="E59" s="263" t="s">
        <v>152</v>
      </c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368"/>
      <c r="AD59" s="82"/>
      <c r="AE59" s="82"/>
      <c r="AF59" s="173" t="s">
        <v>144</v>
      </c>
      <c r="AG59" s="175" t="str">
        <f>(E132)</f>
        <v>Initial Individual Counseling</v>
      </c>
      <c r="AH59" s="173" t="s">
        <v>144</v>
      </c>
      <c r="AI59" s="5"/>
      <c r="AJ59" s="166">
        <v>3</v>
      </c>
      <c r="AL59" s="47"/>
      <c r="AM59" s="23"/>
      <c r="AN59" s="24"/>
      <c r="AP59" s="126"/>
    </row>
    <row r="60" spans="2:95" ht="30" thickBot="1" x14ac:dyDescent="0.45">
      <c r="B60" s="244"/>
      <c r="C60" s="244"/>
      <c r="D60" s="179"/>
      <c r="E60" s="78"/>
      <c r="F60" s="78"/>
      <c r="G60" s="78"/>
      <c r="H60" s="78"/>
      <c r="I60" s="80"/>
      <c r="J60" s="80"/>
      <c r="K60" s="78"/>
      <c r="L60" s="95" t="str">
        <f>(E132)</f>
        <v>Initial Individual Counseling</v>
      </c>
      <c r="M60" s="96"/>
      <c r="N60" s="99"/>
      <c r="O60" s="99"/>
      <c r="P60" s="97"/>
      <c r="Q60" s="85"/>
      <c r="R60" s="288" t="str">
        <f>(E134)</f>
        <v>Three-Day Transition Workshop</v>
      </c>
      <c r="S60" s="289"/>
      <c r="T60" s="290"/>
      <c r="U60" s="304" t="str">
        <f>(E136)</f>
        <v>Career &amp; Credential Exploration 2 Day Seminar</v>
      </c>
      <c r="V60" s="305"/>
      <c r="W60" s="85"/>
      <c r="X60" s="85"/>
      <c r="Y60" s="84"/>
      <c r="Z60" s="84"/>
      <c r="AA60" s="84"/>
      <c r="AB60" s="84"/>
      <c r="AC60" s="84"/>
      <c r="AD60" s="82"/>
      <c r="AE60" s="82"/>
      <c r="AF60" s="84"/>
      <c r="AG60" s="173" t="s">
        <v>144</v>
      </c>
      <c r="AH60" s="84"/>
      <c r="AI60" s="147"/>
      <c r="AL60" s="47"/>
      <c r="AM60" s="23"/>
      <c r="AN60" s="27"/>
      <c r="AP60" s="126"/>
    </row>
    <row r="61" spans="2:95" ht="30" thickBot="1" x14ac:dyDescent="0.45">
      <c r="B61" s="244"/>
      <c r="C61" s="244"/>
      <c r="D61" s="179"/>
      <c r="E61" s="72"/>
      <c r="F61" s="73"/>
      <c r="G61" s="73"/>
      <c r="H61" s="73"/>
      <c r="I61" s="79"/>
      <c r="J61" s="79"/>
      <c r="K61" s="142" t="s">
        <v>83</v>
      </c>
      <c r="L61" s="81"/>
      <c r="M61" s="81"/>
      <c r="N61" s="98"/>
      <c r="O61" s="98"/>
      <c r="P61" s="82"/>
      <c r="Q61" s="82"/>
      <c r="R61" s="81"/>
      <c r="S61" s="81"/>
      <c r="T61" s="88" t="str">
        <f>(E140)</f>
        <v>VA Individual Appointments</v>
      </c>
      <c r="U61" s="81"/>
      <c r="V61" s="81"/>
      <c r="W61" s="82"/>
      <c r="X61" s="82"/>
      <c r="Y61" s="81"/>
      <c r="Z61" s="81"/>
      <c r="AA61" s="81"/>
      <c r="AB61" s="81"/>
      <c r="AC61" s="81"/>
      <c r="AD61" s="82"/>
      <c r="AE61" s="82"/>
      <c r="AF61" s="81"/>
      <c r="AG61" s="81"/>
      <c r="AH61" s="81"/>
      <c r="AI61" s="83"/>
      <c r="AL61" s="47"/>
      <c r="AM61" s="26"/>
      <c r="AN61" s="29">
        <v>25</v>
      </c>
      <c r="AP61" s="126">
        <f>SUM(AP55-AN61)</f>
        <v>-20</v>
      </c>
    </row>
    <row r="62" spans="2:95" ht="15.75" thickBot="1" x14ac:dyDescent="0.25">
      <c r="B62" s="244"/>
      <c r="C62" s="244"/>
      <c r="D62" s="179"/>
      <c r="AL62" s="47"/>
      <c r="AM62" s="23"/>
      <c r="AN62" s="28"/>
    </row>
    <row r="63" spans="2:95" x14ac:dyDescent="0.2">
      <c r="B63" s="244"/>
      <c r="C63" s="244"/>
      <c r="D63" s="179"/>
      <c r="E63" s="194">
        <v>46296</v>
      </c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6"/>
      <c r="AK63" s="166" t="s">
        <v>56</v>
      </c>
      <c r="AL63" s="47">
        <f>SUM(AL57+2.5-AN61)</f>
        <v>41.5</v>
      </c>
      <c r="AM63" s="23"/>
      <c r="AN63" s="24"/>
    </row>
    <row r="64" spans="2:95" x14ac:dyDescent="0.2">
      <c r="B64" s="244"/>
      <c r="C64" s="244"/>
      <c r="D64" s="179"/>
      <c r="E64" s="4">
        <v>1</v>
      </c>
      <c r="F64" s="1">
        <v>2</v>
      </c>
      <c r="G64" s="10">
        <v>3</v>
      </c>
      <c r="H64" s="10">
        <v>4</v>
      </c>
      <c r="I64" s="1">
        <v>5</v>
      </c>
      <c r="J64" s="1">
        <v>6</v>
      </c>
      <c r="K64" s="1">
        <v>7</v>
      </c>
      <c r="L64" s="1">
        <v>8</v>
      </c>
      <c r="M64" s="1">
        <v>9</v>
      </c>
      <c r="N64" s="10">
        <v>10</v>
      </c>
      <c r="O64" s="10">
        <v>11</v>
      </c>
      <c r="P64" s="1">
        <v>12</v>
      </c>
      <c r="Q64" s="1">
        <v>13</v>
      </c>
      <c r="R64" s="1">
        <v>14</v>
      </c>
      <c r="S64" s="1">
        <v>15</v>
      </c>
      <c r="T64" s="1">
        <v>16</v>
      </c>
      <c r="U64" s="10">
        <v>17</v>
      </c>
      <c r="V64" s="10">
        <v>18</v>
      </c>
      <c r="W64" s="1">
        <v>19</v>
      </c>
      <c r="X64" s="1">
        <v>20</v>
      </c>
      <c r="Y64" s="1">
        <v>21</v>
      </c>
      <c r="Z64" s="1">
        <v>22</v>
      </c>
      <c r="AA64" s="1">
        <v>23</v>
      </c>
      <c r="AB64" s="10">
        <v>24</v>
      </c>
      <c r="AC64" s="10">
        <v>25</v>
      </c>
      <c r="AD64" s="1">
        <v>26</v>
      </c>
      <c r="AE64" s="1">
        <v>27</v>
      </c>
      <c r="AF64" s="1">
        <v>28</v>
      </c>
      <c r="AG64" s="1">
        <v>29</v>
      </c>
      <c r="AH64" s="1">
        <v>30</v>
      </c>
      <c r="AI64" s="14">
        <v>31</v>
      </c>
      <c r="AJ64" s="56"/>
      <c r="AK64" s="56"/>
      <c r="AL64" s="47"/>
      <c r="AM64" s="23"/>
      <c r="AN64" s="24"/>
      <c r="BM64" s="262" t="s">
        <v>0</v>
      </c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</row>
    <row r="65" spans="1:95" ht="21.75" thickBot="1" x14ac:dyDescent="0.35">
      <c r="B65" s="244"/>
      <c r="C65" s="244"/>
      <c r="D65" s="179"/>
      <c r="E65" s="201" t="s">
        <v>139</v>
      </c>
      <c r="F65" s="202"/>
      <c r="G65" s="10"/>
      <c r="H65" s="10"/>
      <c r="I65" s="349" t="s">
        <v>153</v>
      </c>
      <c r="J65" s="307"/>
      <c r="K65" s="307"/>
      <c r="L65" s="307"/>
      <c r="M65" s="350"/>
      <c r="N65" s="10"/>
      <c r="O65" s="10"/>
      <c r="P65" s="143" t="s">
        <v>84</v>
      </c>
      <c r="Q65" s="261" t="s">
        <v>143</v>
      </c>
      <c r="R65" s="201"/>
      <c r="S65" s="201"/>
      <c r="T65" s="202"/>
      <c r="U65" s="10"/>
      <c r="V65" s="10"/>
      <c r="W65" s="261" t="s">
        <v>141</v>
      </c>
      <c r="X65" s="201"/>
      <c r="Y65" s="201"/>
      <c r="Z65" s="201"/>
      <c r="AA65" s="202"/>
      <c r="AB65" s="10"/>
      <c r="AC65" s="10"/>
      <c r="AD65" s="261" t="s">
        <v>141</v>
      </c>
      <c r="AE65" s="201"/>
      <c r="AF65" s="201"/>
      <c r="AG65" s="201"/>
      <c r="AH65" s="202"/>
      <c r="AI65" s="15"/>
      <c r="AJ65" s="56">
        <v>16</v>
      </c>
      <c r="AK65" s="56"/>
      <c r="AL65" s="47"/>
      <c r="AM65" s="23"/>
      <c r="AN65" s="24"/>
      <c r="BM65">
        <v>1</v>
      </c>
      <c r="BN65">
        <v>2</v>
      </c>
      <c r="BO65">
        <v>3</v>
      </c>
      <c r="BP65">
        <v>4</v>
      </c>
      <c r="BQ65">
        <v>5</v>
      </c>
      <c r="BR65">
        <v>6</v>
      </c>
      <c r="BS65">
        <v>7</v>
      </c>
      <c r="BT65">
        <v>8</v>
      </c>
      <c r="BU65">
        <v>9</v>
      </c>
      <c r="BV65">
        <v>10</v>
      </c>
      <c r="BW65">
        <v>11</v>
      </c>
      <c r="BX65">
        <v>12</v>
      </c>
      <c r="BY65">
        <v>13</v>
      </c>
      <c r="BZ65">
        <v>14</v>
      </c>
      <c r="CA65">
        <v>15</v>
      </c>
      <c r="CB65">
        <v>16</v>
      </c>
      <c r="CC65">
        <v>17</v>
      </c>
      <c r="CD65">
        <v>18</v>
      </c>
      <c r="CE65">
        <v>19</v>
      </c>
      <c r="CF65">
        <v>20</v>
      </c>
      <c r="CG65">
        <v>21</v>
      </c>
      <c r="CH65">
        <v>22</v>
      </c>
      <c r="CI65">
        <v>23</v>
      </c>
      <c r="CJ65">
        <v>24</v>
      </c>
      <c r="CK65">
        <v>25</v>
      </c>
      <c r="CL65">
        <v>26</v>
      </c>
      <c r="CM65">
        <v>27</v>
      </c>
      <c r="CN65">
        <v>28</v>
      </c>
      <c r="CO65">
        <v>29</v>
      </c>
      <c r="CP65">
        <v>30</v>
      </c>
      <c r="CQ65">
        <v>31</v>
      </c>
    </row>
    <row r="66" spans="1:95" ht="15.75" thickBot="1" x14ac:dyDescent="0.25">
      <c r="B66" s="244"/>
      <c r="C66" s="244"/>
      <c r="D66" s="179"/>
      <c r="E66" s="4"/>
      <c r="F66" s="1"/>
      <c r="G66" s="10"/>
      <c r="H66" s="10"/>
      <c r="I66" s="250" t="str">
        <f>(E135)</f>
        <v>Entrepreneurship 2-Day Seminar</v>
      </c>
      <c r="J66" s="251"/>
      <c r="K66" s="1"/>
      <c r="L66" s="1"/>
      <c r="M66" s="1"/>
      <c r="N66" s="10"/>
      <c r="O66" s="10"/>
      <c r="P66" s="1"/>
      <c r="Q66" s="1"/>
      <c r="R66" s="1"/>
      <c r="S66" s="1"/>
      <c r="T66" s="1"/>
      <c r="U66" s="10"/>
      <c r="V66" s="10"/>
      <c r="W66" s="288" t="str">
        <f>(E134)</f>
        <v>Three-Day Transition Workshop</v>
      </c>
      <c r="X66" s="289"/>
      <c r="Y66" s="290"/>
      <c r="Z66" s="257" t="str">
        <f>(E137)</f>
        <v>Employment 2 Day Seminar</v>
      </c>
      <c r="AA66" s="258"/>
      <c r="AB66" s="10"/>
      <c r="AC66" s="10"/>
      <c r="AD66" s="1"/>
      <c r="AE66" s="1"/>
      <c r="AF66" s="1"/>
      <c r="AG66" s="94" t="str">
        <f>(E138)</f>
        <v>Education  2 Day Seminar</v>
      </c>
      <c r="AH66" s="1"/>
      <c r="AI66" s="14"/>
      <c r="AL66" s="47"/>
      <c r="AM66" s="23"/>
      <c r="AN66" s="27"/>
    </row>
    <row r="67" spans="1:95" ht="15.75" thickBot="1" x14ac:dyDescent="0.25">
      <c r="B67" s="244"/>
      <c r="C67" s="244"/>
      <c r="D67" s="179"/>
      <c r="E67" s="4"/>
      <c r="F67" s="1"/>
      <c r="G67" s="10"/>
      <c r="H67" s="10"/>
      <c r="I67" s="1"/>
      <c r="J67" s="1"/>
      <c r="K67" s="1"/>
      <c r="L67" s="1"/>
      <c r="M67" s="70" t="s">
        <v>29</v>
      </c>
      <c r="N67" s="10"/>
      <c r="O67" s="10"/>
      <c r="P67" s="143" t="s">
        <v>84</v>
      </c>
      <c r="Q67" s="1"/>
      <c r="R67" s="1"/>
      <c r="S67" s="1"/>
      <c r="T67" s="1"/>
      <c r="U67" s="10"/>
      <c r="V67" s="10"/>
      <c r="W67" s="1"/>
      <c r="X67" s="1"/>
      <c r="Y67" s="88" t="str">
        <f>(E140)</f>
        <v>VA Individual Appointments</v>
      </c>
      <c r="Z67" s="1"/>
      <c r="AA67" s="1" t="s">
        <v>110</v>
      </c>
      <c r="AB67" s="10"/>
      <c r="AC67" s="10"/>
      <c r="AD67" s="1"/>
      <c r="AE67" s="1"/>
      <c r="AF67" s="1"/>
      <c r="AG67" s="1"/>
      <c r="AH67" s="1"/>
      <c r="AI67" s="15"/>
      <c r="AL67" s="47"/>
      <c r="AM67" s="26"/>
      <c r="AN67" s="29">
        <v>5</v>
      </c>
    </row>
    <row r="68" spans="1:95" ht="15.75" thickBot="1" x14ac:dyDescent="0.25">
      <c r="B68" s="244"/>
      <c r="C68" s="244"/>
      <c r="D68" s="17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L68" s="47"/>
      <c r="AM68" s="23"/>
      <c r="AN68" s="28"/>
    </row>
    <row r="69" spans="1:95" ht="15.75" thickBot="1" x14ac:dyDescent="0.25">
      <c r="B69" s="244"/>
      <c r="C69" s="244"/>
      <c r="D69" s="179"/>
      <c r="E69" s="190">
        <v>46327</v>
      </c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2"/>
      <c r="AH69" s="192"/>
      <c r="AI69" s="193"/>
      <c r="AK69" s="166" t="s">
        <v>57</v>
      </c>
      <c r="AL69" s="47">
        <f>SUM(AL63+2.5-AN67)</f>
        <v>39</v>
      </c>
      <c r="AM69" s="23"/>
      <c r="AN69" s="24"/>
    </row>
    <row r="70" spans="1:95" x14ac:dyDescent="0.2">
      <c r="B70" s="244"/>
      <c r="C70" s="244"/>
      <c r="D70" s="179"/>
      <c r="E70" s="120">
        <v>1</v>
      </c>
      <c r="F70" s="57">
        <v>2</v>
      </c>
      <c r="G70" s="57">
        <v>3</v>
      </c>
      <c r="H70" s="57">
        <v>4</v>
      </c>
      <c r="I70" s="57">
        <v>5</v>
      </c>
      <c r="J70" s="57">
        <v>6</v>
      </c>
      <c r="K70" s="58">
        <v>7</v>
      </c>
      <c r="L70" s="58">
        <v>8</v>
      </c>
      <c r="M70" s="57">
        <v>9</v>
      </c>
      <c r="N70" s="57">
        <v>10</v>
      </c>
      <c r="O70" s="57">
        <v>11</v>
      </c>
      <c r="P70" s="57">
        <v>12</v>
      </c>
      <c r="Q70" s="57">
        <v>13</v>
      </c>
      <c r="R70" s="58">
        <v>14</v>
      </c>
      <c r="S70" s="58">
        <v>15</v>
      </c>
      <c r="T70" s="57">
        <v>16</v>
      </c>
      <c r="U70" s="57">
        <v>17</v>
      </c>
      <c r="V70" s="57">
        <v>18</v>
      </c>
      <c r="W70" s="57">
        <v>19</v>
      </c>
      <c r="X70" s="57">
        <v>20</v>
      </c>
      <c r="Y70" s="58">
        <v>21</v>
      </c>
      <c r="Z70" s="58">
        <v>22</v>
      </c>
      <c r="AA70" s="57">
        <v>23</v>
      </c>
      <c r="AB70" s="57">
        <v>24</v>
      </c>
      <c r="AC70" s="68">
        <v>25</v>
      </c>
      <c r="AD70" s="68">
        <v>26</v>
      </c>
      <c r="AE70" s="68">
        <v>27</v>
      </c>
      <c r="AF70" s="69">
        <v>28</v>
      </c>
      <c r="AG70" s="69">
        <v>29</v>
      </c>
      <c r="AH70" s="64">
        <v>30</v>
      </c>
      <c r="AI70" s="3"/>
      <c r="AJ70" s="56"/>
      <c r="AK70" s="56"/>
      <c r="AL70" s="47"/>
      <c r="AM70" s="23"/>
      <c r="AN70" s="24"/>
    </row>
    <row r="71" spans="1:95" ht="21.75" thickBot="1" x14ac:dyDescent="0.35">
      <c r="A71" s="67"/>
      <c r="B71" s="244"/>
      <c r="C71" s="244"/>
      <c r="D71" s="179"/>
      <c r="E71" s="121"/>
      <c r="F71" s="349" t="s">
        <v>153</v>
      </c>
      <c r="G71" s="307"/>
      <c r="H71" s="307"/>
      <c r="I71" s="307"/>
      <c r="J71" s="350"/>
      <c r="K71" s="60"/>
      <c r="L71" s="60"/>
      <c r="M71" s="169" t="s">
        <v>144</v>
      </c>
      <c r="N71" s="143" t="s">
        <v>111</v>
      </c>
      <c r="O71" s="143" t="s">
        <v>85</v>
      </c>
      <c r="P71" s="298" t="str">
        <f>(E136)</f>
        <v>Career &amp; Credential Exploration 2 Day Seminar</v>
      </c>
      <c r="Q71" s="299"/>
      <c r="R71" s="60"/>
      <c r="S71" s="60"/>
      <c r="T71" s="367" t="s">
        <v>149</v>
      </c>
      <c r="U71" s="353"/>
      <c r="V71" s="353"/>
      <c r="W71" s="353"/>
      <c r="X71" s="353"/>
      <c r="Y71" s="353"/>
      <c r="Z71" s="353"/>
      <c r="AA71" s="353"/>
      <c r="AB71" s="353"/>
      <c r="AC71" s="353"/>
      <c r="AD71" s="143" t="s">
        <v>2</v>
      </c>
      <c r="AE71" s="143"/>
      <c r="AF71" s="60"/>
      <c r="AG71" s="60"/>
      <c r="AH71" s="178" t="s">
        <v>134</v>
      </c>
      <c r="AI71" s="5"/>
      <c r="AJ71" s="166">
        <v>2</v>
      </c>
      <c r="AL71" s="47"/>
      <c r="AM71" s="23"/>
      <c r="AN71" s="24"/>
    </row>
    <row r="72" spans="1:95" ht="15.75" thickBot="1" x14ac:dyDescent="0.25">
      <c r="B72" s="244"/>
      <c r="C72" s="244"/>
      <c r="D72" s="179"/>
      <c r="E72" s="121"/>
      <c r="F72" s="59"/>
      <c r="G72" s="59"/>
      <c r="H72" s="59"/>
      <c r="I72" s="59"/>
      <c r="J72" s="59"/>
      <c r="K72" s="60"/>
      <c r="L72" s="60"/>
      <c r="M72" s="59"/>
      <c r="N72" s="59"/>
      <c r="O72" s="59"/>
      <c r="P72" s="7"/>
      <c r="Q72" s="7"/>
      <c r="R72" s="60"/>
      <c r="S72" s="60"/>
      <c r="T72" s="295" t="str">
        <f>(E134)</f>
        <v>Three-Day Transition Workshop</v>
      </c>
      <c r="U72" s="296"/>
      <c r="V72" s="297"/>
      <c r="W72" s="280" t="str">
        <f>(E137)</f>
        <v>Employment 2 Day Seminar</v>
      </c>
      <c r="X72" s="281"/>
      <c r="Y72" s="60"/>
      <c r="Z72" s="60"/>
      <c r="AA72" s="282" t="s">
        <v>80</v>
      </c>
      <c r="AB72" s="283"/>
      <c r="AC72" s="283"/>
      <c r="AD72" s="283"/>
      <c r="AE72" s="300"/>
      <c r="AF72" s="60"/>
      <c r="AG72" s="60"/>
      <c r="AH72" s="1"/>
      <c r="AI72" s="5"/>
      <c r="AL72" s="47"/>
      <c r="AM72" s="23"/>
      <c r="AN72" s="27"/>
    </row>
    <row r="73" spans="1:95" ht="15.75" thickBot="1" x14ac:dyDescent="0.25">
      <c r="B73" s="244"/>
      <c r="C73" s="244"/>
      <c r="D73" s="179"/>
      <c r="E73" s="13"/>
      <c r="F73" s="7"/>
      <c r="G73" s="92" t="str">
        <f>(E133)</f>
        <v>Pre Separation Brief</v>
      </c>
      <c r="H73" s="7"/>
      <c r="I73" s="7"/>
      <c r="J73" s="7"/>
      <c r="K73" s="11"/>
      <c r="L73" s="11"/>
      <c r="M73" s="7"/>
      <c r="N73" s="143" t="s">
        <v>111</v>
      </c>
      <c r="O73" s="143" t="s">
        <v>85</v>
      </c>
      <c r="P73" s="7"/>
      <c r="Q73" s="7"/>
      <c r="R73" s="11"/>
      <c r="S73" s="11"/>
      <c r="T73" s="7"/>
      <c r="U73" s="7"/>
      <c r="V73" s="89" t="str">
        <f>(E140)</f>
        <v>VA Individual Appointments</v>
      </c>
      <c r="W73" s="7"/>
      <c r="X73" s="7"/>
      <c r="Y73" s="11"/>
      <c r="Z73" s="11"/>
      <c r="AA73" s="7"/>
      <c r="AB73" s="139" t="str">
        <f>(E133)</f>
        <v>Pre Separation Brief</v>
      </c>
      <c r="AC73" s="7"/>
      <c r="AD73" s="143" t="s">
        <v>2</v>
      </c>
      <c r="AE73" s="143"/>
      <c r="AF73" s="11"/>
      <c r="AG73" s="11"/>
      <c r="AH73" s="7"/>
      <c r="AI73" s="8"/>
      <c r="AL73" s="47"/>
      <c r="AM73" s="26"/>
      <c r="AN73" s="29">
        <v>16</v>
      </c>
    </row>
    <row r="74" spans="1:95" ht="15.75" thickBot="1" x14ac:dyDescent="0.25">
      <c r="B74" s="244"/>
      <c r="C74" s="244"/>
      <c r="D74" s="17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L74" s="47"/>
      <c r="AM74" s="23"/>
      <c r="AN74" s="28"/>
    </row>
    <row r="75" spans="1:95" x14ac:dyDescent="0.2">
      <c r="B75" s="244"/>
      <c r="C75" s="244"/>
      <c r="D75" s="179"/>
      <c r="E75" s="217">
        <v>46357</v>
      </c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9"/>
      <c r="AH75" s="219"/>
      <c r="AI75" s="220"/>
      <c r="AK75" s="166" t="s">
        <v>58</v>
      </c>
      <c r="AL75" s="47">
        <f>SUM(AL69+2.5-AN73)</f>
        <v>25.5</v>
      </c>
      <c r="AM75" s="23"/>
      <c r="AN75" s="24"/>
    </row>
    <row r="76" spans="1:95" x14ac:dyDescent="0.2">
      <c r="B76" s="244"/>
      <c r="C76" s="244"/>
      <c r="D76" s="179"/>
      <c r="E76" s="4">
        <v>1</v>
      </c>
      <c r="F76" s="1">
        <v>2</v>
      </c>
      <c r="G76" s="1">
        <v>3</v>
      </c>
      <c r="H76" s="1">
        <v>4</v>
      </c>
      <c r="I76" s="10">
        <v>5</v>
      </c>
      <c r="J76" s="10">
        <v>6</v>
      </c>
      <c r="K76" s="1">
        <v>7</v>
      </c>
      <c r="L76" s="1">
        <v>8</v>
      </c>
      <c r="M76" s="1">
        <v>9</v>
      </c>
      <c r="N76" s="1">
        <v>10</v>
      </c>
      <c r="O76" s="1">
        <v>11</v>
      </c>
      <c r="P76" s="10">
        <v>12</v>
      </c>
      <c r="Q76" s="10">
        <v>13</v>
      </c>
      <c r="R76" s="1">
        <v>14</v>
      </c>
      <c r="S76" s="1">
        <v>15</v>
      </c>
      <c r="T76" s="1">
        <v>16</v>
      </c>
      <c r="U76" s="1">
        <v>17</v>
      </c>
      <c r="V76" s="1">
        <v>18</v>
      </c>
      <c r="W76" s="10">
        <v>19</v>
      </c>
      <c r="X76" s="10">
        <v>20</v>
      </c>
      <c r="Y76" s="1">
        <v>21</v>
      </c>
      <c r="Z76" s="1">
        <v>22</v>
      </c>
      <c r="AA76" s="1">
        <v>23</v>
      </c>
      <c r="AB76" s="1">
        <v>24</v>
      </c>
      <c r="AC76" s="1">
        <v>25</v>
      </c>
      <c r="AD76" s="10">
        <v>26</v>
      </c>
      <c r="AE76" s="10">
        <v>27</v>
      </c>
      <c r="AF76" s="1">
        <v>28</v>
      </c>
      <c r="AG76" s="1">
        <v>29</v>
      </c>
      <c r="AH76" s="1">
        <v>30</v>
      </c>
      <c r="AI76" s="1">
        <v>31</v>
      </c>
      <c r="AL76" s="47"/>
      <c r="AM76" s="23"/>
      <c r="AN76" s="24"/>
    </row>
    <row r="77" spans="1:95" ht="21.75" thickBot="1" x14ac:dyDescent="0.35">
      <c r="B77" s="244"/>
      <c r="C77" s="244"/>
      <c r="D77" s="179"/>
      <c r="E77" s="352" t="s">
        <v>165</v>
      </c>
      <c r="F77" s="263"/>
      <c r="G77" s="263"/>
      <c r="H77" s="263"/>
      <c r="I77" s="263"/>
      <c r="J77" s="263"/>
      <c r="K77" s="263"/>
      <c r="L77" s="263"/>
      <c r="M77" s="263"/>
      <c r="N77" s="263"/>
      <c r="O77" s="173" t="s">
        <v>148</v>
      </c>
      <c r="P77" s="177"/>
      <c r="Q77" s="177"/>
      <c r="R77" s="261" t="s">
        <v>141</v>
      </c>
      <c r="S77" s="201"/>
      <c r="T77" s="201"/>
      <c r="U77" s="201"/>
      <c r="V77" s="202"/>
      <c r="W77" s="11"/>
      <c r="X77" s="11"/>
      <c r="Y77" s="265" t="s">
        <v>140</v>
      </c>
      <c r="Z77" s="265"/>
      <c r="AA77" s="266"/>
      <c r="AB77" s="143" t="s">
        <v>3</v>
      </c>
      <c r="AC77" s="143" t="s">
        <v>3</v>
      </c>
      <c r="AD77" s="11"/>
      <c r="AE77" s="11"/>
      <c r="AF77" s="201" t="s">
        <v>140</v>
      </c>
      <c r="AG77" s="201"/>
      <c r="AH77" s="202"/>
      <c r="AI77" s="22" t="s">
        <v>3</v>
      </c>
      <c r="AJ77" s="166">
        <v>20</v>
      </c>
      <c r="AL77" s="47"/>
      <c r="AM77" s="23"/>
      <c r="AN77" s="24"/>
    </row>
    <row r="78" spans="1:95" ht="15.75" thickBot="1" x14ac:dyDescent="0.25">
      <c r="B78" s="244"/>
      <c r="C78" s="244"/>
      <c r="D78" s="179"/>
      <c r="E78" s="91" t="str">
        <f>(E133)</f>
        <v>Pre Separation Brief</v>
      </c>
      <c r="F78" s="1"/>
      <c r="G78" s="1"/>
      <c r="H78" s="1"/>
      <c r="I78" s="10"/>
      <c r="J78" s="10"/>
      <c r="K78" s="288" t="str">
        <f>(E134)</f>
        <v>Three-Day Transition Workshop</v>
      </c>
      <c r="L78" s="289"/>
      <c r="M78" s="290"/>
      <c r="N78" s="257" t="str">
        <f>(E137)</f>
        <v>Employment 2 Day Seminar</v>
      </c>
      <c r="O78" s="258"/>
      <c r="P78" s="10"/>
      <c r="Q78" s="10"/>
      <c r="R78" s="1"/>
      <c r="S78" s="90" t="str">
        <f>(E133)</f>
        <v>Pre Separation Brief</v>
      </c>
      <c r="T78" s="1"/>
      <c r="U78" s="1"/>
      <c r="V78" s="1"/>
      <c r="W78" s="11"/>
      <c r="X78" s="11"/>
      <c r="Y78" s="282" t="s">
        <v>80</v>
      </c>
      <c r="Z78" s="283"/>
      <c r="AA78" s="283"/>
      <c r="AB78" s="283"/>
      <c r="AC78" s="283"/>
      <c r="AD78" s="283"/>
      <c r="AE78" s="283"/>
      <c r="AF78" s="323"/>
      <c r="AG78" s="323"/>
      <c r="AH78" s="323"/>
      <c r="AI78" s="324"/>
      <c r="AL78" s="47"/>
      <c r="AM78" s="23"/>
      <c r="AN78" s="27"/>
    </row>
    <row r="79" spans="1:95" ht="15.75" thickBot="1" x14ac:dyDescent="0.25">
      <c r="B79" s="244"/>
      <c r="C79" s="244"/>
      <c r="D79" s="179"/>
      <c r="E79" s="6"/>
      <c r="F79" s="122" t="s">
        <v>18</v>
      </c>
      <c r="G79" s="7"/>
      <c r="H79" s="7"/>
      <c r="I79" s="11"/>
      <c r="J79" s="11"/>
      <c r="K79" s="7"/>
      <c r="L79" s="7"/>
      <c r="M79" s="89" t="str">
        <f>(E140)</f>
        <v>VA Individual Appointments</v>
      </c>
      <c r="N79" s="7"/>
      <c r="O79" s="7"/>
      <c r="P79" s="11"/>
      <c r="Q79" s="11"/>
      <c r="R79" s="7"/>
      <c r="S79" s="7"/>
      <c r="T79" s="7"/>
      <c r="U79" s="7"/>
      <c r="V79" s="7"/>
      <c r="W79" s="11"/>
      <c r="X79" s="11"/>
      <c r="Y79" s="7"/>
      <c r="Z79" s="7"/>
      <c r="AA79" s="7"/>
      <c r="AB79" s="143" t="s">
        <v>3</v>
      </c>
      <c r="AC79" s="143" t="s">
        <v>3</v>
      </c>
      <c r="AD79" s="11"/>
      <c r="AE79" s="11"/>
      <c r="AF79" s="7"/>
      <c r="AG79" s="7"/>
      <c r="AH79" s="7"/>
      <c r="AI79" s="22" t="s">
        <v>3</v>
      </c>
      <c r="AL79" s="47"/>
      <c r="AM79" s="26"/>
      <c r="AN79" s="29">
        <v>10</v>
      </c>
    </row>
    <row r="80" spans="1:95" ht="15.75" thickBot="1" x14ac:dyDescent="0.25">
      <c r="B80" s="244"/>
      <c r="C80" s="244"/>
      <c r="D80" s="17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L80" s="47"/>
      <c r="AM80" s="23"/>
      <c r="AN80" s="28"/>
    </row>
    <row r="81" spans="2:40" x14ac:dyDescent="0.2">
      <c r="B81" s="244"/>
      <c r="C81" s="244"/>
      <c r="D81" s="244">
        <v>1</v>
      </c>
      <c r="E81" s="194">
        <v>46388</v>
      </c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6"/>
      <c r="AK81" s="166" t="s">
        <v>59</v>
      </c>
      <c r="AL81" s="47">
        <f>SUM(AL75+2.5-AN79)</f>
        <v>18</v>
      </c>
      <c r="AM81" s="23"/>
      <c r="AN81" s="24"/>
    </row>
    <row r="82" spans="2:40" x14ac:dyDescent="0.2">
      <c r="B82" s="244"/>
      <c r="C82" s="244"/>
      <c r="D82" s="244"/>
      <c r="E82" s="4">
        <v>1</v>
      </c>
      <c r="F82" s="10">
        <v>2</v>
      </c>
      <c r="G82" s="10">
        <v>3</v>
      </c>
      <c r="H82" s="1">
        <v>4</v>
      </c>
      <c r="I82" s="1">
        <v>5</v>
      </c>
      <c r="J82" s="1">
        <v>6</v>
      </c>
      <c r="K82" s="1">
        <v>7</v>
      </c>
      <c r="L82" s="1">
        <v>8</v>
      </c>
      <c r="M82" s="10">
        <v>9</v>
      </c>
      <c r="N82" s="10">
        <v>10</v>
      </c>
      <c r="O82" s="1">
        <v>11</v>
      </c>
      <c r="P82" s="1">
        <v>12</v>
      </c>
      <c r="Q82" s="1">
        <v>13</v>
      </c>
      <c r="R82" s="1">
        <v>14</v>
      </c>
      <c r="S82" s="1">
        <v>15</v>
      </c>
      <c r="T82" s="10">
        <v>16</v>
      </c>
      <c r="U82" s="10">
        <v>17</v>
      </c>
      <c r="V82" s="1">
        <v>18</v>
      </c>
      <c r="W82" s="1">
        <v>19</v>
      </c>
      <c r="X82" s="1">
        <v>20</v>
      </c>
      <c r="Y82" s="1">
        <v>21</v>
      </c>
      <c r="Z82" s="1">
        <v>22</v>
      </c>
      <c r="AA82" s="10">
        <v>23</v>
      </c>
      <c r="AB82" s="10">
        <v>24</v>
      </c>
      <c r="AC82" s="1">
        <v>25</v>
      </c>
      <c r="AD82" s="1">
        <v>26</v>
      </c>
      <c r="AE82" s="1">
        <v>27</v>
      </c>
      <c r="AF82" s="1">
        <v>28</v>
      </c>
      <c r="AG82" s="1">
        <v>29</v>
      </c>
      <c r="AH82" s="10">
        <v>30</v>
      </c>
      <c r="AI82" s="40">
        <v>31</v>
      </c>
      <c r="AL82" s="47"/>
      <c r="AM82" s="23"/>
      <c r="AN82" s="24"/>
    </row>
    <row r="83" spans="2:40" ht="21" x14ac:dyDescent="0.3">
      <c r="B83" s="244"/>
      <c r="C83" s="244"/>
      <c r="D83" s="244"/>
      <c r="E83" s="21" t="s">
        <v>2</v>
      </c>
      <c r="F83" s="207" t="s">
        <v>116</v>
      </c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8"/>
      <c r="AJ83" s="166">
        <v>19</v>
      </c>
      <c r="AL83" s="47"/>
      <c r="AM83" s="23"/>
      <c r="AN83" s="24"/>
    </row>
    <row r="84" spans="2:40" ht="15.75" thickBot="1" x14ac:dyDescent="0.25">
      <c r="B84" s="244"/>
      <c r="C84" s="244"/>
      <c r="D84" s="244"/>
      <c r="E84" s="100"/>
      <c r="F84" s="10"/>
      <c r="G84" s="10"/>
      <c r="H84" s="1"/>
      <c r="I84" s="1"/>
      <c r="J84" s="1"/>
      <c r="K84" s="1"/>
      <c r="L84" s="1"/>
      <c r="M84" s="10"/>
      <c r="N84" s="10"/>
      <c r="O84" s="1"/>
      <c r="P84" s="1"/>
      <c r="Q84" s="1"/>
      <c r="R84" s="1"/>
      <c r="S84" s="1"/>
      <c r="T84" s="10"/>
      <c r="U84" s="10"/>
      <c r="V84" s="1"/>
      <c r="W84" s="1"/>
      <c r="X84" s="1"/>
      <c r="Y84" s="1"/>
      <c r="Z84" s="1"/>
      <c r="AA84" s="10"/>
      <c r="AB84" s="10"/>
      <c r="AC84" s="1"/>
      <c r="AD84" s="1"/>
      <c r="AE84" s="1"/>
      <c r="AF84" s="1"/>
      <c r="AG84" s="1"/>
      <c r="AH84" s="10"/>
      <c r="AI84" s="40"/>
      <c r="AL84" s="47"/>
      <c r="AM84" s="23"/>
      <c r="AN84" s="27"/>
    </row>
    <row r="85" spans="2:40" ht="25.5" thickBot="1" x14ac:dyDescent="0.4">
      <c r="B85" s="244"/>
      <c r="C85" s="244"/>
      <c r="D85" s="244"/>
      <c r="E85" s="21" t="s">
        <v>2</v>
      </c>
      <c r="F85" s="10"/>
      <c r="G85" s="10"/>
      <c r="H85" s="1"/>
      <c r="I85" s="1"/>
      <c r="J85" s="1"/>
      <c r="K85" s="1"/>
      <c r="L85" s="1"/>
      <c r="M85" s="10"/>
      <c r="N85" s="10"/>
      <c r="O85" s="1"/>
      <c r="P85" s="1"/>
      <c r="Q85" s="1"/>
      <c r="R85" s="1"/>
      <c r="S85" s="1"/>
      <c r="T85" s="10"/>
      <c r="U85" s="10"/>
      <c r="V85" s="141" t="s">
        <v>81</v>
      </c>
      <c r="W85" s="1"/>
      <c r="X85" s="1"/>
      <c r="Y85" s="1"/>
      <c r="Z85" s="1"/>
      <c r="AA85" s="10"/>
      <c r="AB85" s="10"/>
      <c r="AC85" s="1"/>
      <c r="AD85" s="1"/>
      <c r="AE85" s="1"/>
      <c r="AF85" s="1"/>
      <c r="AG85" s="1"/>
      <c r="AH85" s="10"/>
      <c r="AI85" s="40"/>
      <c r="AJ85" s="140"/>
      <c r="AL85" s="47"/>
      <c r="AM85" s="26"/>
      <c r="AN85" s="29">
        <v>0</v>
      </c>
    </row>
    <row r="86" spans="2:40" ht="15.75" thickBot="1" x14ac:dyDescent="0.25">
      <c r="B86" s="244"/>
      <c r="C86" s="244"/>
      <c r="D86" s="179"/>
      <c r="AL86" s="47"/>
      <c r="AM86" s="23"/>
      <c r="AN86" s="28"/>
    </row>
    <row r="87" spans="2:40" x14ac:dyDescent="0.2">
      <c r="B87" s="244"/>
      <c r="C87" s="244"/>
      <c r="D87" s="244">
        <v>2</v>
      </c>
      <c r="E87" s="194">
        <v>46419</v>
      </c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6"/>
      <c r="AJ87" s="166" t="s">
        <v>86</v>
      </c>
      <c r="AK87" s="166" t="s">
        <v>60</v>
      </c>
      <c r="AL87" s="47">
        <f>SUM(AL81+2.5-AN85)</f>
        <v>20.5</v>
      </c>
      <c r="AM87" s="23"/>
      <c r="AN87" s="24"/>
    </row>
    <row r="88" spans="2:40" ht="24.75" x14ac:dyDescent="0.35">
      <c r="B88" s="244"/>
      <c r="C88" s="244"/>
      <c r="D88" s="244"/>
      <c r="E88" s="4">
        <v>1</v>
      </c>
      <c r="F88" s="1">
        <v>2</v>
      </c>
      <c r="G88" s="1">
        <v>3</v>
      </c>
      <c r="H88" s="1">
        <v>4</v>
      </c>
      <c r="I88" s="1">
        <v>5</v>
      </c>
      <c r="J88" s="38">
        <v>6</v>
      </c>
      <c r="K88" s="38">
        <v>7</v>
      </c>
      <c r="L88" s="1">
        <v>8</v>
      </c>
      <c r="M88" s="1">
        <v>9</v>
      </c>
      <c r="N88" s="1">
        <v>10</v>
      </c>
      <c r="O88" s="1">
        <v>11</v>
      </c>
      <c r="P88" s="1">
        <v>12</v>
      </c>
      <c r="Q88" s="38">
        <v>13</v>
      </c>
      <c r="R88" s="38">
        <v>14</v>
      </c>
      <c r="S88" s="1">
        <v>15</v>
      </c>
      <c r="T88" s="1">
        <v>16</v>
      </c>
      <c r="U88" s="1">
        <v>17</v>
      </c>
      <c r="V88" s="1">
        <v>18</v>
      </c>
      <c r="W88" s="1">
        <v>19</v>
      </c>
      <c r="X88" s="38">
        <v>20</v>
      </c>
      <c r="Y88" s="38">
        <v>21</v>
      </c>
      <c r="Z88" s="1">
        <v>22</v>
      </c>
      <c r="AA88" s="1">
        <v>23</v>
      </c>
      <c r="AB88" s="62">
        <v>24</v>
      </c>
      <c r="AC88" s="62">
        <v>25</v>
      </c>
      <c r="AD88" s="62">
        <v>26</v>
      </c>
      <c r="AE88" s="103">
        <v>27</v>
      </c>
      <c r="AF88" s="103">
        <v>28</v>
      </c>
      <c r="AG88" s="1"/>
      <c r="AH88" s="1"/>
      <c r="AI88" s="5"/>
      <c r="AJ88" s="140">
        <f>SUM(AJ56:AJ87)</f>
        <v>60</v>
      </c>
      <c r="AL88" s="47"/>
      <c r="AM88" s="23"/>
      <c r="AN88" s="24"/>
    </row>
    <row r="89" spans="2:40" ht="21" x14ac:dyDescent="0.3">
      <c r="B89" s="244"/>
      <c r="C89" s="244"/>
      <c r="D89" s="244"/>
      <c r="E89" s="343" t="s">
        <v>115</v>
      </c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4"/>
      <c r="AG89" s="102"/>
      <c r="AH89" s="1"/>
      <c r="AI89" s="5"/>
      <c r="AL89" s="47"/>
      <c r="AM89" s="23"/>
      <c r="AN89" s="24"/>
    </row>
    <row r="90" spans="2:40" ht="15.75" thickBot="1" x14ac:dyDescent="0.25">
      <c r="B90" s="244"/>
      <c r="C90" s="244"/>
      <c r="D90" s="244"/>
      <c r="E90" s="4"/>
      <c r="F90" s="1"/>
      <c r="G90" s="1"/>
      <c r="H90" s="1"/>
      <c r="I90" s="1"/>
      <c r="J90" s="38"/>
      <c r="K90" s="38"/>
      <c r="L90" s="1"/>
      <c r="M90" s="1"/>
      <c r="N90" s="1"/>
      <c r="O90" s="1"/>
      <c r="P90" s="1"/>
      <c r="Q90" s="38"/>
      <c r="R90" s="38"/>
      <c r="S90" s="1"/>
      <c r="T90" s="1"/>
      <c r="U90" s="1"/>
      <c r="V90" s="1"/>
      <c r="W90" s="1"/>
      <c r="X90" s="38"/>
      <c r="Y90" s="38"/>
      <c r="Z90" s="1"/>
      <c r="AA90" s="1"/>
      <c r="AB90" s="59"/>
      <c r="AC90" s="59"/>
      <c r="AD90" s="59"/>
      <c r="AE90" s="104"/>
      <c r="AF90" s="104"/>
      <c r="AG90" s="1"/>
      <c r="AH90" s="1"/>
      <c r="AI90" s="5"/>
      <c r="AL90" s="47"/>
      <c r="AM90" s="23"/>
      <c r="AN90" s="27"/>
    </row>
    <row r="91" spans="2:40" ht="15.75" thickBot="1" x14ac:dyDescent="0.25">
      <c r="B91" s="244"/>
      <c r="C91" s="244"/>
      <c r="D91" s="244"/>
      <c r="E91" s="4"/>
      <c r="F91" s="1"/>
      <c r="G91" s="1"/>
      <c r="H91" s="1"/>
      <c r="I91" s="1"/>
      <c r="J91" s="38"/>
      <c r="K91" s="38"/>
      <c r="L91" s="22" t="s">
        <v>9</v>
      </c>
      <c r="M91" s="1"/>
      <c r="N91" s="1"/>
      <c r="O91" s="1"/>
      <c r="P91" s="1"/>
      <c r="Q91" s="38"/>
      <c r="R91" s="38"/>
      <c r="S91" s="141" t="s">
        <v>82</v>
      </c>
      <c r="T91" s="1"/>
      <c r="U91" s="1"/>
      <c r="V91" s="1"/>
      <c r="W91" s="1"/>
      <c r="X91" s="38"/>
      <c r="Y91" s="38"/>
      <c r="Z91" s="1"/>
      <c r="AA91" s="1"/>
      <c r="AB91" s="1"/>
      <c r="AC91" s="1"/>
      <c r="AD91" s="1"/>
      <c r="AE91" s="38"/>
      <c r="AF91" s="38"/>
      <c r="AG91" s="1"/>
      <c r="AH91" s="1"/>
      <c r="AI91" s="5"/>
      <c r="AL91" s="47"/>
      <c r="AM91" s="26"/>
      <c r="AN91" s="29">
        <v>0</v>
      </c>
    </row>
    <row r="92" spans="2:40" ht="15.75" thickBot="1" x14ac:dyDescent="0.25">
      <c r="B92" s="244"/>
      <c r="C92" s="244"/>
      <c r="D92" s="17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L92" s="47"/>
      <c r="AM92" s="23"/>
      <c r="AN92" s="28"/>
    </row>
    <row r="93" spans="2:40" x14ac:dyDescent="0.2">
      <c r="B93" s="244"/>
      <c r="C93" s="244"/>
      <c r="D93" s="244">
        <v>3</v>
      </c>
      <c r="E93" s="194">
        <v>46447</v>
      </c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6"/>
      <c r="AJ93" s="166" t="s">
        <v>87</v>
      </c>
      <c r="AK93" s="166" t="s">
        <v>61</v>
      </c>
      <c r="AL93" s="47">
        <f>SUM(AL87+2.5-AN91)</f>
        <v>23</v>
      </c>
      <c r="AM93" s="23"/>
      <c r="AN93" s="24"/>
    </row>
    <row r="94" spans="2:40" ht="31.5" x14ac:dyDescent="0.45">
      <c r="B94" s="244"/>
      <c r="C94" s="244"/>
      <c r="D94" s="244"/>
      <c r="E94" s="4">
        <v>1</v>
      </c>
      <c r="F94" s="1">
        <v>2</v>
      </c>
      <c r="G94" s="1">
        <v>3</v>
      </c>
      <c r="H94" s="1">
        <v>4</v>
      </c>
      <c r="I94" s="1">
        <v>5</v>
      </c>
      <c r="J94" s="10">
        <v>6</v>
      </c>
      <c r="K94" s="10">
        <v>7</v>
      </c>
      <c r="L94" s="1">
        <v>8</v>
      </c>
      <c r="M94" s="1">
        <v>9</v>
      </c>
      <c r="N94" s="1">
        <v>10</v>
      </c>
      <c r="O94" s="1">
        <v>11</v>
      </c>
      <c r="P94" s="1">
        <v>12</v>
      </c>
      <c r="Q94" s="10">
        <v>13</v>
      </c>
      <c r="R94" s="10">
        <v>14</v>
      </c>
      <c r="S94" s="1">
        <v>15</v>
      </c>
      <c r="T94" s="1">
        <v>16</v>
      </c>
      <c r="U94" s="1">
        <v>17</v>
      </c>
      <c r="V94" s="1">
        <v>18</v>
      </c>
      <c r="W94" s="1">
        <v>19</v>
      </c>
      <c r="X94" s="10">
        <v>20</v>
      </c>
      <c r="Y94" s="10">
        <v>21</v>
      </c>
      <c r="Z94" s="1">
        <v>22</v>
      </c>
      <c r="AA94" s="1">
        <v>23</v>
      </c>
      <c r="AB94" s="1">
        <v>24</v>
      </c>
      <c r="AC94" s="1">
        <v>25</v>
      </c>
      <c r="AD94" s="1">
        <v>26</v>
      </c>
      <c r="AE94" s="10">
        <v>27</v>
      </c>
      <c r="AF94" s="10">
        <v>28</v>
      </c>
      <c r="AG94" s="1">
        <v>29</v>
      </c>
      <c r="AH94" s="1">
        <v>30</v>
      </c>
      <c r="AI94" s="5">
        <v>31</v>
      </c>
      <c r="AJ94" s="160">
        <f>(AL117)</f>
        <v>0.5</v>
      </c>
      <c r="AL94" s="47"/>
      <c r="AM94" s="23"/>
      <c r="AN94" s="24"/>
    </row>
    <row r="95" spans="2:40" ht="21.75" thickBot="1" x14ac:dyDescent="0.35">
      <c r="B95" s="244"/>
      <c r="C95" s="244"/>
      <c r="D95" s="244"/>
      <c r="E95" s="321" t="s">
        <v>114</v>
      </c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  <c r="AA95" s="325"/>
      <c r="AB95" s="325"/>
      <c r="AC95" s="325"/>
      <c r="AD95" s="325"/>
      <c r="AE95" s="325"/>
      <c r="AF95" s="325"/>
      <c r="AG95" s="325"/>
      <c r="AH95" s="325"/>
      <c r="AI95" s="326"/>
      <c r="AL95" s="47"/>
      <c r="AM95" s="23"/>
      <c r="AN95" s="24"/>
    </row>
    <row r="96" spans="2:40" ht="15.75" thickBot="1" x14ac:dyDescent="0.25">
      <c r="B96" s="244"/>
      <c r="C96" s="244"/>
      <c r="D96" s="244"/>
      <c r="E96" s="4"/>
      <c r="F96" s="1"/>
      <c r="G96" s="1"/>
      <c r="H96" s="1"/>
      <c r="I96" s="1"/>
      <c r="J96" s="10"/>
      <c r="K96" s="10"/>
      <c r="L96" s="1"/>
      <c r="M96" s="1"/>
      <c r="N96" s="1"/>
      <c r="O96" s="1"/>
      <c r="P96" s="1"/>
      <c r="Q96" s="10"/>
      <c r="R96" s="10"/>
      <c r="S96" s="1"/>
      <c r="T96" s="1"/>
      <c r="U96" s="1"/>
      <c r="V96" s="1"/>
      <c r="W96" s="1"/>
      <c r="X96" s="10"/>
      <c r="Y96" s="10"/>
      <c r="Z96" s="1"/>
      <c r="AA96" s="1"/>
      <c r="AB96" s="1"/>
      <c r="AC96" s="1"/>
      <c r="AD96" s="1"/>
      <c r="AE96" s="10"/>
      <c r="AF96" s="10"/>
      <c r="AG96" s="1"/>
      <c r="AH96" s="1"/>
      <c r="AI96" s="5"/>
      <c r="AL96" s="47"/>
      <c r="AM96" s="23"/>
      <c r="AN96" s="27"/>
    </row>
    <row r="97" spans="2:40" ht="15.75" thickBot="1" x14ac:dyDescent="0.25">
      <c r="B97" s="244"/>
      <c r="C97" s="244"/>
      <c r="D97" s="244"/>
      <c r="E97" s="4"/>
      <c r="F97" s="1"/>
      <c r="G97" s="1"/>
      <c r="H97" s="1"/>
      <c r="I97" s="1"/>
      <c r="J97" s="10"/>
      <c r="K97" s="10"/>
      <c r="L97" s="1"/>
      <c r="M97" s="1"/>
      <c r="N97" s="1"/>
      <c r="O97" s="1"/>
      <c r="P97" s="1"/>
      <c r="Q97" s="10"/>
      <c r="R97" s="10"/>
      <c r="S97" s="1"/>
      <c r="T97" s="1"/>
      <c r="U97" s="1"/>
      <c r="V97" s="1"/>
      <c r="W97" s="1"/>
      <c r="X97" s="10"/>
      <c r="Y97" s="10"/>
      <c r="Z97" s="1"/>
      <c r="AA97" s="1"/>
      <c r="AB97" s="1"/>
      <c r="AC97" s="1"/>
      <c r="AD97" s="1"/>
      <c r="AE97" s="10"/>
      <c r="AF97" s="10"/>
      <c r="AG97" s="1"/>
      <c r="AH97" s="1"/>
      <c r="AI97" s="5"/>
      <c r="AL97" s="47"/>
      <c r="AM97" s="26"/>
      <c r="AN97" s="29">
        <v>0</v>
      </c>
    </row>
    <row r="98" spans="2:40" ht="15.75" thickBot="1" x14ac:dyDescent="0.25">
      <c r="B98" s="244"/>
      <c r="C98" s="244"/>
      <c r="D98" s="179"/>
      <c r="AL98" s="47"/>
      <c r="AM98" s="23"/>
      <c r="AN98" s="28"/>
    </row>
    <row r="99" spans="2:40" x14ac:dyDescent="0.2">
      <c r="B99" s="244"/>
      <c r="C99" s="244"/>
      <c r="D99" s="244">
        <v>4</v>
      </c>
      <c r="E99" s="194">
        <v>46478</v>
      </c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6"/>
      <c r="AK99" s="166" t="s">
        <v>62</v>
      </c>
      <c r="AL99" s="47">
        <f>SUM(AL93+2.5-AN97)</f>
        <v>25.5</v>
      </c>
      <c r="AM99" s="23"/>
      <c r="AN99" s="24"/>
    </row>
    <row r="100" spans="2:40" x14ac:dyDescent="0.2">
      <c r="B100" s="244"/>
      <c r="C100" s="244"/>
      <c r="D100" s="244"/>
      <c r="E100" s="4">
        <v>1</v>
      </c>
      <c r="F100" s="1">
        <v>2</v>
      </c>
      <c r="G100" s="10">
        <v>3</v>
      </c>
      <c r="H100" s="10">
        <v>4</v>
      </c>
      <c r="I100" s="1">
        <v>5</v>
      </c>
      <c r="J100" s="1">
        <v>6</v>
      </c>
      <c r="K100" s="1">
        <v>7</v>
      </c>
      <c r="L100" s="1">
        <v>8</v>
      </c>
      <c r="M100" s="1">
        <v>9</v>
      </c>
      <c r="N100" s="10">
        <v>10</v>
      </c>
      <c r="O100" s="10">
        <v>11</v>
      </c>
      <c r="P100" s="1">
        <v>12</v>
      </c>
      <c r="Q100" s="1">
        <v>13</v>
      </c>
      <c r="R100" s="1">
        <v>14</v>
      </c>
      <c r="S100" s="1">
        <v>15</v>
      </c>
      <c r="T100" s="1">
        <v>16</v>
      </c>
      <c r="U100" s="10">
        <v>17</v>
      </c>
      <c r="V100" s="10">
        <v>18</v>
      </c>
      <c r="W100" s="1">
        <v>19</v>
      </c>
      <c r="X100" s="1">
        <v>20</v>
      </c>
      <c r="Y100" s="1">
        <v>21</v>
      </c>
      <c r="Z100" s="1">
        <v>22</v>
      </c>
      <c r="AA100" s="1">
        <v>23</v>
      </c>
      <c r="AB100" s="10">
        <v>24</v>
      </c>
      <c r="AC100" s="10">
        <v>25</v>
      </c>
      <c r="AD100" s="1">
        <v>26</v>
      </c>
      <c r="AE100" s="1">
        <v>27</v>
      </c>
      <c r="AF100" s="1">
        <v>28</v>
      </c>
      <c r="AG100" s="1">
        <v>29</v>
      </c>
      <c r="AH100" s="1">
        <v>30</v>
      </c>
      <c r="AI100" s="5"/>
      <c r="AL100" s="47"/>
      <c r="AM100" s="23"/>
      <c r="AN100" s="24"/>
    </row>
    <row r="101" spans="2:40" ht="21.75" thickBot="1" x14ac:dyDescent="0.35">
      <c r="B101" s="244"/>
      <c r="C101" s="244"/>
      <c r="D101" s="244"/>
      <c r="E101" s="321" t="s">
        <v>113</v>
      </c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322"/>
      <c r="AB101" s="322"/>
      <c r="AC101" s="322"/>
      <c r="AD101" s="322"/>
      <c r="AE101" s="322"/>
      <c r="AF101" s="322"/>
      <c r="AG101" s="322"/>
      <c r="AH101" s="322"/>
      <c r="AI101" s="65"/>
      <c r="AL101" s="47"/>
      <c r="AM101" s="23"/>
      <c r="AN101" s="24"/>
    </row>
    <row r="102" spans="2:40" ht="15.75" thickBot="1" x14ac:dyDescent="0.25">
      <c r="B102" s="244"/>
      <c r="C102" s="244"/>
      <c r="D102" s="244"/>
      <c r="E102" s="4"/>
      <c r="F102" s="1"/>
      <c r="G102" s="10"/>
      <c r="H102" s="10"/>
      <c r="I102" s="1"/>
      <c r="J102" s="1"/>
      <c r="K102" s="1"/>
      <c r="L102" s="1"/>
      <c r="M102" s="1"/>
      <c r="N102" s="10"/>
      <c r="O102" s="10"/>
      <c r="P102" s="1"/>
      <c r="Q102" s="1"/>
      <c r="R102" s="1"/>
      <c r="S102" s="1"/>
      <c r="T102" s="1"/>
      <c r="U102" s="10"/>
      <c r="V102" s="10"/>
      <c r="W102" s="1"/>
      <c r="X102" s="1"/>
      <c r="Y102" s="1"/>
      <c r="Z102" s="1"/>
      <c r="AA102" s="1"/>
      <c r="AB102" s="10"/>
      <c r="AC102" s="10"/>
      <c r="AD102" s="1"/>
      <c r="AE102" s="1"/>
      <c r="AF102" s="1"/>
      <c r="AG102" s="1"/>
      <c r="AH102" s="1"/>
      <c r="AI102" s="5"/>
      <c r="AL102" s="47"/>
      <c r="AM102" s="23"/>
      <c r="AN102" s="27"/>
    </row>
    <row r="103" spans="2:40" ht="15.75" thickBot="1" x14ac:dyDescent="0.25">
      <c r="B103" s="244"/>
      <c r="C103" s="244"/>
      <c r="D103" s="244"/>
      <c r="E103" s="4"/>
      <c r="F103" s="1"/>
      <c r="G103" s="10"/>
      <c r="H103" s="10"/>
      <c r="I103" s="1"/>
      <c r="J103" s="1"/>
      <c r="K103" s="1"/>
      <c r="L103" s="1"/>
      <c r="M103" s="1"/>
      <c r="N103" s="10"/>
      <c r="O103" s="10"/>
      <c r="P103" s="1"/>
      <c r="Q103" s="1"/>
      <c r="R103" s="1"/>
      <c r="S103" s="1"/>
      <c r="T103" s="1"/>
      <c r="U103" s="10"/>
      <c r="V103" s="10"/>
      <c r="W103" s="1"/>
      <c r="X103" s="1"/>
      <c r="Y103" s="1"/>
      <c r="Z103" s="1"/>
      <c r="AA103" s="1"/>
      <c r="AB103" s="10"/>
      <c r="AC103" s="10"/>
      <c r="AD103" s="1"/>
      <c r="AE103" s="1"/>
      <c r="AF103" s="1"/>
      <c r="AG103" s="1"/>
      <c r="AH103" s="1"/>
      <c r="AI103" s="5"/>
      <c r="AL103" s="47"/>
      <c r="AM103" s="26"/>
      <c r="AN103" s="29">
        <v>0</v>
      </c>
    </row>
    <row r="104" spans="2:40" ht="15.75" thickBot="1" x14ac:dyDescent="0.25">
      <c r="B104" s="244"/>
      <c r="C104" s="244"/>
      <c r="D104" s="179"/>
      <c r="AL104" s="47"/>
      <c r="AM104" s="23"/>
      <c r="AN104" s="28"/>
    </row>
    <row r="105" spans="2:40" x14ac:dyDescent="0.2">
      <c r="B105" s="244"/>
      <c r="C105" s="244"/>
      <c r="D105" s="244">
        <v>5</v>
      </c>
      <c r="E105" s="194">
        <v>46508</v>
      </c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6"/>
      <c r="AK105" s="166" t="s">
        <v>51</v>
      </c>
      <c r="AL105" s="47">
        <f>SUM(AL99+2.5-AN103)</f>
        <v>28</v>
      </c>
      <c r="AM105" s="23"/>
      <c r="AN105" s="24"/>
    </row>
    <row r="106" spans="2:40" x14ac:dyDescent="0.2">
      <c r="B106" s="244"/>
      <c r="C106" s="244"/>
      <c r="D106" s="244"/>
      <c r="E106" s="12">
        <v>1</v>
      </c>
      <c r="F106" s="10">
        <v>2</v>
      </c>
      <c r="G106" s="1">
        <v>3</v>
      </c>
      <c r="H106" s="1">
        <v>4</v>
      </c>
      <c r="I106" s="1">
        <v>5</v>
      </c>
      <c r="J106" s="1">
        <v>6</v>
      </c>
      <c r="K106" s="1">
        <v>7</v>
      </c>
      <c r="L106" s="10">
        <v>8</v>
      </c>
      <c r="M106" s="10">
        <v>9</v>
      </c>
      <c r="N106" s="1">
        <v>10</v>
      </c>
      <c r="O106" s="1">
        <v>11</v>
      </c>
      <c r="P106" s="1">
        <v>12</v>
      </c>
      <c r="Q106" s="1">
        <v>13</v>
      </c>
      <c r="R106" s="1">
        <v>14</v>
      </c>
      <c r="S106" s="10">
        <v>15</v>
      </c>
      <c r="T106" s="10">
        <v>16</v>
      </c>
      <c r="U106" s="1">
        <v>17</v>
      </c>
      <c r="V106" s="1">
        <v>18</v>
      </c>
      <c r="W106" s="1">
        <v>19</v>
      </c>
      <c r="X106" s="1">
        <v>20</v>
      </c>
      <c r="Y106" s="1">
        <v>21</v>
      </c>
      <c r="Z106" s="10">
        <v>22</v>
      </c>
      <c r="AA106" s="10">
        <v>23</v>
      </c>
      <c r="AB106" s="1">
        <v>24</v>
      </c>
      <c r="AC106" s="1">
        <v>25</v>
      </c>
      <c r="AD106" s="1">
        <v>26</v>
      </c>
      <c r="AE106" s="1">
        <v>27</v>
      </c>
      <c r="AF106" s="1">
        <v>28</v>
      </c>
      <c r="AG106" s="10">
        <v>29</v>
      </c>
      <c r="AH106" s="10">
        <v>30</v>
      </c>
      <c r="AI106" s="5">
        <v>31</v>
      </c>
      <c r="AL106" s="47"/>
      <c r="AM106" s="23"/>
      <c r="AN106" s="24"/>
    </row>
    <row r="107" spans="2:40" ht="21.75" thickBot="1" x14ac:dyDescent="0.35">
      <c r="B107" s="244"/>
      <c r="C107" s="244"/>
      <c r="D107" s="244"/>
      <c r="E107" s="322" t="s">
        <v>113</v>
      </c>
      <c r="F107" s="322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322"/>
      <c r="AB107" s="322"/>
      <c r="AC107" s="322"/>
      <c r="AD107" s="322"/>
      <c r="AE107" s="322"/>
      <c r="AF107" s="322"/>
      <c r="AG107" s="322"/>
      <c r="AH107" s="322"/>
      <c r="AI107" s="342"/>
      <c r="AL107" s="47"/>
      <c r="AM107" s="23"/>
      <c r="AN107" s="24"/>
    </row>
    <row r="108" spans="2:40" ht="15.75" thickBot="1" x14ac:dyDescent="0.25">
      <c r="B108" s="244"/>
      <c r="C108" s="244"/>
      <c r="D108" s="244"/>
      <c r="E108" s="12"/>
      <c r="F108" s="10"/>
      <c r="G108" s="1"/>
      <c r="H108" s="1"/>
      <c r="I108" s="1"/>
      <c r="J108" s="1"/>
      <c r="K108" s="1"/>
      <c r="L108" s="10"/>
      <c r="M108" s="10"/>
      <c r="N108" s="1"/>
      <c r="O108" s="1"/>
      <c r="P108" s="1"/>
      <c r="Q108" s="1"/>
      <c r="R108" s="1"/>
      <c r="S108" s="10"/>
      <c r="T108" s="10"/>
      <c r="U108" s="1"/>
      <c r="V108" s="1"/>
      <c r="W108" s="1"/>
      <c r="X108" s="1"/>
      <c r="Y108" s="1"/>
      <c r="Z108" s="10"/>
      <c r="AA108" s="10"/>
      <c r="AB108" s="1"/>
      <c r="AC108" s="1"/>
      <c r="AD108" s="1"/>
      <c r="AE108" s="1"/>
      <c r="AF108" s="1"/>
      <c r="AG108" s="10"/>
      <c r="AH108" s="10"/>
      <c r="AI108" s="5"/>
      <c r="AL108" s="47"/>
      <c r="AM108" s="23"/>
      <c r="AN108" s="27"/>
    </row>
    <row r="109" spans="2:40" ht="15.75" thickBot="1" x14ac:dyDescent="0.25">
      <c r="B109" s="244"/>
      <c r="C109" s="244"/>
      <c r="D109" s="244"/>
      <c r="E109" s="12"/>
      <c r="F109" s="10"/>
      <c r="G109" s="1"/>
      <c r="H109" s="1"/>
      <c r="I109" s="1"/>
      <c r="J109" s="1"/>
      <c r="K109" s="1"/>
      <c r="L109" s="10"/>
      <c r="M109" s="10"/>
      <c r="N109" s="1"/>
      <c r="O109" s="1"/>
      <c r="P109" s="1"/>
      <c r="Q109" s="1"/>
      <c r="R109" s="1"/>
      <c r="S109" s="10"/>
      <c r="T109" s="10"/>
      <c r="U109" s="1"/>
      <c r="V109" s="1"/>
      <c r="W109" s="1"/>
      <c r="X109" s="1"/>
      <c r="Y109" s="1"/>
      <c r="Z109" s="10"/>
      <c r="AA109" s="10"/>
      <c r="AB109" s="1"/>
      <c r="AC109" s="1"/>
      <c r="AD109" s="1"/>
      <c r="AE109" s="1"/>
      <c r="AF109" s="1"/>
      <c r="AG109" s="10"/>
      <c r="AH109" s="10"/>
      <c r="AI109" s="5"/>
      <c r="AL109" s="47"/>
      <c r="AM109" s="26"/>
      <c r="AN109" s="29">
        <v>0</v>
      </c>
    </row>
    <row r="110" spans="2:40" ht="15.75" thickBot="1" x14ac:dyDescent="0.25">
      <c r="B110" s="244"/>
      <c r="C110" s="244"/>
      <c r="D110" s="179"/>
      <c r="AL110" s="47"/>
      <c r="AM110" s="23"/>
      <c r="AN110" s="28"/>
    </row>
    <row r="111" spans="2:40" x14ac:dyDescent="0.2">
      <c r="B111" s="244"/>
      <c r="C111" s="244"/>
      <c r="D111" s="244">
        <v>6</v>
      </c>
      <c r="E111" s="194">
        <v>46539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6"/>
      <c r="AK111" s="166" t="s">
        <v>52</v>
      </c>
      <c r="AL111" s="47">
        <f>SUM(AL105+2.5-AN109)</f>
        <v>30.5</v>
      </c>
      <c r="AM111" s="23"/>
      <c r="AN111" s="24"/>
    </row>
    <row r="112" spans="2:40" x14ac:dyDescent="0.2">
      <c r="B112" s="244"/>
      <c r="C112" s="244"/>
      <c r="D112" s="244"/>
      <c r="E112" s="4">
        <v>1</v>
      </c>
      <c r="F112" s="1">
        <v>2</v>
      </c>
      <c r="G112" s="1">
        <v>3</v>
      </c>
      <c r="H112" s="1">
        <v>4</v>
      </c>
      <c r="I112" s="10">
        <v>5</v>
      </c>
      <c r="J112" s="10">
        <v>6</v>
      </c>
      <c r="K112" s="1">
        <v>7</v>
      </c>
      <c r="L112" s="1">
        <v>8</v>
      </c>
      <c r="M112" s="1">
        <v>9</v>
      </c>
      <c r="N112" s="1">
        <v>10</v>
      </c>
      <c r="O112" s="1">
        <v>11</v>
      </c>
      <c r="P112" s="10">
        <v>12</v>
      </c>
      <c r="Q112" s="10">
        <v>13</v>
      </c>
      <c r="R112" s="1">
        <v>14</v>
      </c>
      <c r="S112" s="1">
        <v>15</v>
      </c>
      <c r="T112" s="1">
        <v>16</v>
      </c>
      <c r="U112" s="1">
        <v>17</v>
      </c>
      <c r="V112" s="1">
        <v>18</v>
      </c>
      <c r="W112" s="10">
        <v>19</v>
      </c>
      <c r="X112" s="10">
        <v>20</v>
      </c>
      <c r="Y112" s="1">
        <v>21</v>
      </c>
      <c r="Z112" s="1">
        <v>22</v>
      </c>
      <c r="AA112" s="1">
        <v>23</v>
      </c>
      <c r="AB112" s="1">
        <v>24</v>
      </c>
      <c r="AC112" s="1">
        <v>25</v>
      </c>
      <c r="AD112" s="10">
        <v>26</v>
      </c>
      <c r="AE112" s="10">
        <v>27</v>
      </c>
      <c r="AF112" s="1">
        <v>28</v>
      </c>
      <c r="AG112" s="1">
        <v>29</v>
      </c>
      <c r="AH112" s="1">
        <v>30</v>
      </c>
      <c r="AI112" s="5"/>
      <c r="AL112" s="47"/>
      <c r="AM112" s="23"/>
      <c r="AN112" s="24"/>
    </row>
    <row r="113" spans="2:40" ht="21.75" thickBot="1" x14ac:dyDescent="0.35">
      <c r="B113" s="244"/>
      <c r="C113" s="244"/>
      <c r="D113" s="244"/>
      <c r="E113" s="320" t="s">
        <v>76</v>
      </c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24"/>
      <c r="AL113" s="47"/>
      <c r="AM113" s="23"/>
      <c r="AN113" s="24"/>
    </row>
    <row r="114" spans="2:40" ht="15.75" thickBot="1" x14ac:dyDescent="0.25">
      <c r="B114" s="244"/>
      <c r="C114" s="244"/>
      <c r="D114" s="244"/>
      <c r="E114" s="99"/>
      <c r="F114" s="102"/>
      <c r="G114" s="1"/>
      <c r="H114" s="1"/>
      <c r="I114" s="10"/>
      <c r="J114" s="10"/>
      <c r="K114" s="1"/>
      <c r="L114" s="1"/>
      <c r="M114" s="1"/>
      <c r="N114" s="1"/>
      <c r="O114" s="1"/>
      <c r="P114" s="10"/>
      <c r="Q114" s="10"/>
      <c r="R114" s="1"/>
      <c r="S114" s="1"/>
      <c r="T114" s="1"/>
      <c r="U114" s="1"/>
      <c r="V114" s="1"/>
      <c r="W114" s="10"/>
      <c r="X114" s="10"/>
      <c r="Y114" s="1"/>
      <c r="Z114" s="1"/>
      <c r="AA114" s="1"/>
      <c r="AB114" s="1"/>
      <c r="AC114" s="1"/>
      <c r="AD114" s="10"/>
      <c r="AE114" s="10"/>
      <c r="AF114" s="1"/>
      <c r="AG114" s="1"/>
      <c r="AH114" s="1"/>
      <c r="AI114" s="5"/>
      <c r="AL114" s="47"/>
      <c r="AM114" s="23"/>
      <c r="AN114" s="27"/>
    </row>
    <row r="115" spans="2:40" ht="15.75" thickBot="1" x14ac:dyDescent="0.25">
      <c r="B115" s="244"/>
      <c r="C115" s="244"/>
      <c r="D115" s="244"/>
      <c r="E115" s="99"/>
      <c r="F115" s="102"/>
      <c r="G115" s="1"/>
      <c r="H115" s="1"/>
      <c r="I115" s="10"/>
      <c r="J115" s="10"/>
      <c r="K115" s="1"/>
      <c r="L115" s="1"/>
      <c r="M115" s="1"/>
      <c r="N115" s="1"/>
      <c r="O115" s="1"/>
      <c r="P115" s="10"/>
      <c r="Q115" s="10"/>
      <c r="R115" s="1"/>
      <c r="S115" s="1"/>
      <c r="T115" s="1"/>
      <c r="U115" s="1"/>
      <c r="V115" s="143" t="s">
        <v>91</v>
      </c>
      <c r="W115" s="10"/>
      <c r="X115" s="10"/>
      <c r="Y115" s="1"/>
      <c r="Z115" s="1"/>
      <c r="AA115" s="1"/>
      <c r="AB115" s="1"/>
      <c r="AC115" s="1"/>
      <c r="AD115" s="10"/>
      <c r="AE115" s="10"/>
      <c r="AF115" s="1"/>
      <c r="AG115" s="1"/>
      <c r="AH115" s="1"/>
      <c r="AI115" s="5"/>
      <c r="AL115" s="48"/>
      <c r="AM115" s="26"/>
      <c r="AN115" s="29">
        <v>30</v>
      </c>
    </row>
    <row r="116" spans="2:40" ht="35.25" thickBot="1" x14ac:dyDescent="0.55000000000000004">
      <c r="AJ116" s="55"/>
      <c r="AK116" s="55"/>
      <c r="AL116" s="54" t="s">
        <v>11</v>
      </c>
      <c r="AM116" s="148"/>
      <c r="AN116" s="28"/>
    </row>
    <row r="117" spans="2:40" ht="35.25" thickBot="1" x14ac:dyDescent="0.55000000000000004">
      <c r="E117" s="194">
        <v>46569</v>
      </c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6"/>
      <c r="AJ117" s="55"/>
      <c r="AK117" s="55" t="s">
        <v>53</v>
      </c>
      <c r="AL117" s="53">
        <f>SUM(AL111-AN115)</f>
        <v>0.5</v>
      </c>
      <c r="AM117" s="148"/>
      <c r="AN117" s="24"/>
    </row>
    <row r="118" spans="2:40" x14ac:dyDescent="0.2">
      <c r="E118" s="16">
        <v>1</v>
      </c>
      <c r="F118" s="1">
        <v>2</v>
      </c>
      <c r="G118" s="10">
        <v>3</v>
      </c>
      <c r="H118" s="10">
        <v>4</v>
      </c>
      <c r="I118" s="1">
        <v>5</v>
      </c>
      <c r="J118" s="1">
        <v>6</v>
      </c>
      <c r="K118" s="1">
        <v>7</v>
      </c>
      <c r="L118" s="1">
        <v>8</v>
      </c>
      <c r="M118" s="1">
        <v>9</v>
      </c>
      <c r="N118" s="10">
        <v>10</v>
      </c>
      <c r="O118" s="10">
        <v>11</v>
      </c>
      <c r="P118" s="1">
        <v>12</v>
      </c>
      <c r="Q118" s="1">
        <v>13</v>
      </c>
      <c r="R118" s="1">
        <v>14</v>
      </c>
      <c r="S118" s="1">
        <v>15</v>
      </c>
      <c r="T118" s="1">
        <v>16</v>
      </c>
      <c r="U118" s="10">
        <v>17</v>
      </c>
      <c r="V118" s="10">
        <v>18</v>
      </c>
      <c r="W118" s="1">
        <v>19</v>
      </c>
      <c r="X118" s="1">
        <v>20</v>
      </c>
      <c r="Y118" s="1">
        <v>21</v>
      </c>
      <c r="Z118" s="1">
        <v>22</v>
      </c>
      <c r="AA118" s="1">
        <v>23</v>
      </c>
      <c r="AB118" s="10">
        <v>24</v>
      </c>
      <c r="AC118" s="10">
        <v>25</v>
      </c>
      <c r="AD118" s="1">
        <v>26</v>
      </c>
      <c r="AE118" s="1">
        <v>27</v>
      </c>
      <c r="AF118" s="1">
        <v>28</v>
      </c>
      <c r="AG118" s="1">
        <v>29</v>
      </c>
      <c r="AH118" s="1">
        <v>30</v>
      </c>
      <c r="AI118" s="14">
        <v>31</v>
      </c>
      <c r="AL118" s="49"/>
      <c r="AM118" s="23"/>
      <c r="AN118" s="24"/>
    </row>
    <row r="119" spans="2:40" x14ac:dyDescent="0.2">
      <c r="E119" s="20" t="s">
        <v>1</v>
      </c>
      <c r="F119" s="1"/>
      <c r="G119" s="10"/>
      <c r="H119" s="10"/>
      <c r="I119" s="1"/>
      <c r="J119" s="1"/>
      <c r="K119" s="1"/>
      <c r="L119" s="1"/>
      <c r="M119" s="1"/>
      <c r="N119" s="10"/>
      <c r="O119" s="10"/>
      <c r="P119" s="1"/>
      <c r="Q119" s="1"/>
      <c r="R119" s="1"/>
      <c r="S119" s="1"/>
      <c r="T119" s="1"/>
      <c r="U119" s="10"/>
      <c r="V119" s="10"/>
      <c r="W119" s="1"/>
      <c r="X119" s="1"/>
      <c r="Y119" s="1"/>
      <c r="Z119" s="1"/>
      <c r="AA119" s="1"/>
      <c r="AB119" s="10"/>
      <c r="AC119" s="10"/>
      <c r="AD119" s="1"/>
      <c r="AE119" s="1"/>
      <c r="AF119" s="1"/>
      <c r="AG119" s="1"/>
      <c r="AH119" s="1"/>
      <c r="AI119" s="14"/>
      <c r="AL119" s="47"/>
      <c r="AM119" s="23"/>
      <c r="AN119" s="24"/>
    </row>
    <row r="120" spans="2:40" x14ac:dyDescent="0.2">
      <c r="E120" s="16"/>
      <c r="F120" s="1"/>
      <c r="G120" s="10"/>
      <c r="H120" s="10"/>
      <c r="I120" s="1"/>
      <c r="J120" s="1"/>
      <c r="K120" s="1"/>
      <c r="L120" s="1"/>
      <c r="M120" s="1"/>
      <c r="N120" s="10"/>
      <c r="O120" s="10"/>
      <c r="P120" s="1"/>
      <c r="Q120" s="1"/>
      <c r="R120" s="1"/>
      <c r="S120" s="1"/>
      <c r="T120" s="1"/>
      <c r="U120" s="10"/>
      <c r="V120" s="10"/>
      <c r="W120" s="1"/>
      <c r="X120" s="1"/>
      <c r="Y120" s="1"/>
      <c r="Z120" s="1"/>
      <c r="AA120" s="1"/>
      <c r="AB120" s="10"/>
      <c r="AC120" s="10"/>
      <c r="AD120" s="1"/>
      <c r="AE120" s="1"/>
      <c r="AF120" s="1"/>
      <c r="AG120" s="1"/>
      <c r="AH120" s="1"/>
      <c r="AI120" s="14"/>
      <c r="AL120" s="47"/>
      <c r="AM120" s="23"/>
      <c r="AN120" s="24"/>
    </row>
    <row r="121" spans="2:40" ht="15.75" thickBot="1" x14ac:dyDescent="0.25">
      <c r="E121" s="17"/>
      <c r="F121" s="7"/>
      <c r="G121" s="11"/>
      <c r="H121" s="11"/>
      <c r="I121" s="7"/>
      <c r="J121" s="7"/>
      <c r="K121" s="7"/>
      <c r="L121" s="7"/>
      <c r="M121" s="7"/>
      <c r="N121" s="11"/>
      <c r="O121" s="11"/>
      <c r="P121" s="7"/>
      <c r="Q121" s="7"/>
      <c r="R121" s="7"/>
      <c r="S121" s="7"/>
      <c r="T121" s="7"/>
      <c r="U121" s="11"/>
      <c r="V121" s="11"/>
      <c r="W121" s="7"/>
      <c r="X121" s="7"/>
      <c r="Y121" s="7"/>
      <c r="Z121" s="7"/>
      <c r="AA121" s="7"/>
      <c r="AB121" s="11"/>
      <c r="AC121" s="11"/>
      <c r="AD121" s="7"/>
      <c r="AE121" s="7"/>
      <c r="AF121" s="7"/>
      <c r="AG121" s="7"/>
      <c r="AH121" s="7"/>
      <c r="AI121" s="15"/>
      <c r="AL121" s="47"/>
      <c r="AM121" s="23"/>
      <c r="AN121" s="24"/>
    </row>
    <row r="124" spans="2:40" x14ac:dyDescent="0.2">
      <c r="AG124">
        <v>6</v>
      </c>
    </row>
    <row r="125" spans="2:40" x14ac:dyDescent="0.2">
      <c r="AG125">
        <v>31</v>
      </c>
    </row>
    <row r="126" spans="2:40" x14ac:dyDescent="0.2">
      <c r="AG126">
        <v>30</v>
      </c>
    </row>
    <row r="127" spans="2:40" x14ac:dyDescent="0.2">
      <c r="AG127">
        <v>7</v>
      </c>
    </row>
    <row r="128" spans="2:40" x14ac:dyDescent="0.2">
      <c r="AG128">
        <f>SUM(AG124:AG127)</f>
        <v>74</v>
      </c>
    </row>
    <row r="132" spans="5:5" x14ac:dyDescent="0.2">
      <c r="E132" t="s">
        <v>20</v>
      </c>
    </row>
    <row r="133" spans="5:5" x14ac:dyDescent="0.2">
      <c r="E133" t="s">
        <v>21</v>
      </c>
    </row>
    <row r="134" spans="5:5" x14ac:dyDescent="0.2">
      <c r="E134" t="s">
        <v>22</v>
      </c>
    </row>
    <row r="135" spans="5:5" x14ac:dyDescent="0.2">
      <c r="E135" t="s">
        <v>23</v>
      </c>
    </row>
    <row r="136" spans="5:5" x14ac:dyDescent="0.2">
      <c r="E136" t="s">
        <v>24</v>
      </c>
    </row>
    <row r="137" spans="5:5" x14ac:dyDescent="0.2">
      <c r="E137" t="s">
        <v>25</v>
      </c>
    </row>
    <row r="138" spans="5:5" x14ac:dyDescent="0.2">
      <c r="E138" t="s">
        <v>26</v>
      </c>
    </row>
    <row r="139" spans="5:5" x14ac:dyDescent="0.2">
      <c r="E139" t="s">
        <v>27</v>
      </c>
    </row>
    <row r="140" spans="5:5" x14ac:dyDescent="0.2">
      <c r="E140" s="86" t="s">
        <v>28</v>
      </c>
    </row>
  </sheetData>
  <mergeCells count="89">
    <mergeCell ref="B45:C115"/>
    <mergeCell ref="D111:D115"/>
    <mergeCell ref="D105:D109"/>
    <mergeCell ref="D99:D103"/>
    <mergeCell ref="D93:D97"/>
    <mergeCell ref="D87:D91"/>
    <mergeCell ref="D81:D85"/>
    <mergeCell ref="AE47:AI47"/>
    <mergeCell ref="AD65:AH65"/>
    <mergeCell ref="T71:AC71"/>
    <mergeCell ref="W65:AA65"/>
    <mergeCell ref="F71:J71"/>
    <mergeCell ref="P71:Q71"/>
    <mergeCell ref="E65:F65"/>
    <mergeCell ref="E47:F47"/>
    <mergeCell ref="J47:N47"/>
    <mergeCell ref="R47:U47"/>
    <mergeCell ref="X47:Y47"/>
    <mergeCell ref="I65:M65"/>
    <mergeCell ref="Q65:T65"/>
    <mergeCell ref="E59:AC59"/>
    <mergeCell ref="Z47:AB47"/>
    <mergeCell ref="Q53:R53"/>
    <mergeCell ref="E93:AI93"/>
    <mergeCell ref="E95:AI95"/>
    <mergeCell ref="AH48:AI48"/>
    <mergeCell ref="E51:AI51"/>
    <mergeCell ref="G53:K53"/>
    <mergeCell ref="AB53:AI53"/>
    <mergeCell ref="W72:X72"/>
    <mergeCell ref="AA72:AE72"/>
    <mergeCell ref="E81:AI81"/>
    <mergeCell ref="F83:AI83"/>
    <mergeCell ref="E87:AI87"/>
    <mergeCell ref="E89:AF89"/>
    <mergeCell ref="E77:N77"/>
    <mergeCell ref="AF77:AH77"/>
    <mergeCell ref="Y77:AA77"/>
    <mergeCell ref="R77:V77"/>
    <mergeCell ref="E117:AI117"/>
    <mergeCell ref="E99:AI99"/>
    <mergeCell ref="E101:AH101"/>
    <mergeCell ref="E105:AI105"/>
    <mergeCell ref="E107:AI107"/>
    <mergeCell ref="E111:AI111"/>
    <mergeCell ref="E113:AH113"/>
    <mergeCell ref="BM64:CQ64"/>
    <mergeCell ref="I66:J66"/>
    <mergeCell ref="W66:Y66"/>
    <mergeCell ref="Z66:AA66"/>
    <mergeCell ref="M55:S55"/>
    <mergeCell ref="E57:AI57"/>
    <mergeCell ref="R60:T60"/>
    <mergeCell ref="U60:V60"/>
    <mergeCell ref="E63:AI63"/>
    <mergeCell ref="E33:AI33"/>
    <mergeCell ref="F35:AI35"/>
    <mergeCell ref="E39:AI39"/>
    <mergeCell ref="E41:AH41"/>
    <mergeCell ref="E45:AI45"/>
    <mergeCell ref="Q48:S48"/>
    <mergeCell ref="T48:U48"/>
    <mergeCell ref="E75:AI75"/>
    <mergeCell ref="K78:M78"/>
    <mergeCell ref="N78:O78"/>
    <mergeCell ref="Y78:AI78"/>
    <mergeCell ref="E69:AI69"/>
    <mergeCell ref="T72:V72"/>
    <mergeCell ref="U53:W53"/>
    <mergeCell ref="X53:Y53"/>
    <mergeCell ref="E29:G29"/>
    <mergeCell ref="H29:AG29"/>
    <mergeCell ref="E15:AI15"/>
    <mergeCell ref="F17:N17"/>
    <mergeCell ref="O17:AF17"/>
    <mergeCell ref="Z18:AF18"/>
    <mergeCell ref="E21:AI21"/>
    <mergeCell ref="E23:AI23"/>
    <mergeCell ref="E24:L24"/>
    <mergeCell ref="M24:X24"/>
    <mergeCell ref="AA24:AC24"/>
    <mergeCell ref="AD24:AF24"/>
    <mergeCell ref="E27:AI27"/>
    <mergeCell ref="Q13:S13"/>
    <mergeCell ref="E1:AI1"/>
    <mergeCell ref="E4:AI4"/>
    <mergeCell ref="E8:AI8"/>
    <mergeCell ref="E11:AB11"/>
    <mergeCell ref="AC11:AI11"/>
  </mergeCells>
  <pageMargins left="0.7" right="0.7" top="0.75" bottom="0.75" header="0.3" footer="0.3"/>
  <pageSetup scale="1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7798-4191-2F48-BAB6-E94083616332}">
  <sheetPr>
    <pageSetUpPr fitToPage="1"/>
  </sheetPr>
  <dimension ref="A1:CQ140"/>
  <sheetViews>
    <sheetView topLeftCell="A51" zoomScale="80" zoomScaleNormal="80" workbookViewId="0">
      <selection activeCell="AN74" sqref="AN74"/>
    </sheetView>
  </sheetViews>
  <sheetFormatPr defaultRowHeight="15" x14ac:dyDescent="0.2"/>
  <cols>
    <col min="4" max="4" width="10.4921875" bestFit="1" customWidth="1"/>
    <col min="21" max="21" width="10.625" customWidth="1"/>
    <col min="36" max="36" width="15.19921875" style="176" customWidth="1"/>
    <col min="37" max="37" width="15.46875" style="176" customWidth="1"/>
    <col min="38" max="38" width="13.5859375" style="50" bestFit="1" customWidth="1"/>
    <col min="39" max="39" width="8.609375" style="176"/>
    <col min="40" max="40" width="8.609375" style="25"/>
  </cols>
  <sheetData>
    <row r="1" spans="5:40" x14ac:dyDescent="0.2">
      <c r="E1" s="194">
        <v>45992</v>
      </c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6"/>
      <c r="AL1" s="47">
        <v>68</v>
      </c>
      <c r="AM1" s="23"/>
      <c r="AN1" s="24"/>
    </row>
    <row r="2" spans="5:40" x14ac:dyDescent="0.2">
      <c r="E2" s="111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L2" s="47"/>
      <c r="AM2" s="23"/>
      <c r="AN2" s="24"/>
    </row>
    <row r="3" spans="5:40" x14ac:dyDescent="0.2">
      <c r="E3" s="30">
        <v>1</v>
      </c>
      <c r="F3" s="31">
        <v>2</v>
      </c>
      <c r="G3" s="31">
        <v>3</v>
      </c>
      <c r="H3" s="31">
        <v>4</v>
      </c>
      <c r="I3" s="31">
        <v>5</v>
      </c>
      <c r="J3" s="10">
        <v>6</v>
      </c>
      <c r="K3" s="10">
        <v>7</v>
      </c>
      <c r="L3" s="31">
        <v>8</v>
      </c>
      <c r="M3" s="31">
        <v>9</v>
      </c>
      <c r="N3" s="31">
        <v>10</v>
      </c>
      <c r="O3" s="31">
        <v>11</v>
      </c>
      <c r="P3" s="31">
        <v>12</v>
      </c>
      <c r="Q3" s="10">
        <v>13</v>
      </c>
      <c r="R3" s="10">
        <v>14</v>
      </c>
      <c r="S3" s="31">
        <v>15</v>
      </c>
      <c r="T3" s="31">
        <v>16</v>
      </c>
      <c r="U3" s="31">
        <v>17</v>
      </c>
      <c r="V3" s="31">
        <v>18</v>
      </c>
      <c r="W3" s="31">
        <v>19</v>
      </c>
      <c r="X3" s="10">
        <v>20</v>
      </c>
      <c r="Y3" s="10">
        <v>21</v>
      </c>
      <c r="Z3" s="31">
        <v>22</v>
      </c>
      <c r="AA3" s="31">
        <v>23</v>
      </c>
      <c r="AB3" s="31">
        <v>24</v>
      </c>
      <c r="AC3" s="31">
        <v>25</v>
      </c>
      <c r="AD3" s="31">
        <v>26</v>
      </c>
      <c r="AE3" s="10">
        <v>27</v>
      </c>
      <c r="AF3" s="10">
        <v>28</v>
      </c>
      <c r="AG3" s="31">
        <v>29</v>
      </c>
      <c r="AH3" s="31">
        <v>30</v>
      </c>
      <c r="AI3" s="34">
        <v>31</v>
      </c>
      <c r="AL3" s="47"/>
      <c r="AM3" s="23"/>
      <c r="AN3" s="24"/>
    </row>
    <row r="4" spans="5:40" x14ac:dyDescent="0.2">
      <c r="E4" s="223" t="s">
        <v>5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5"/>
      <c r="AL4" s="47"/>
      <c r="AM4" s="23"/>
      <c r="AN4" s="24"/>
    </row>
    <row r="5" spans="5:40" ht="15.75" thickBot="1" x14ac:dyDescent="0.25">
      <c r="E5" s="30"/>
      <c r="F5" s="31"/>
      <c r="G5" s="31"/>
      <c r="H5" s="31"/>
      <c r="I5" s="31"/>
      <c r="J5" s="10"/>
      <c r="K5" s="10"/>
      <c r="L5" s="31"/>
      <c r="M5" s="31"/>
      <c r="N5" s="31"/>
      <c r="O5" s="31"/>
      <c r="P5" s="31"/>
      <c r="Q5" s="10"/>
      <c r="R5" s="10"/>
      <c r="S5" s="31"/>
      <c r="T5" s="31"/>
      <c r="U5" s="31"/>
      <c r="V5" s="31"/>
      <c r="W5" s="31"/>
      <c r="X5" s="10"/>
      <c r="Y5" s="10"/>
      <c r="Z5" s="31"/>
      <c r="AA5" s="31"/>
      <c r="AB5" s="31"/>
      <c r="AC5" s="31"/>
      <c r="AD5" s="31"/>
      <c r="AE5" s="10"/>
      <c r="AF5" s="10"/>
      <c r="AG5" s="31"/>
      <c r="AH5" s="31"/>
      <c r="AI5" s="34"/>
      <c r="AL5" s="47"/>
      <c r="AM5" s="23"/>
      <c r="AN5" s="24"/>
    </row>
    <row r="6" spans="5:40" ht="15.75" thickBot="1" x14ac:dyDescent="0.25">
      <c r="E6" s="32"/>
      <c r="F6" s="33"/>
      <c r="G6" s="33"/>
      <c r="H6" s="33"/>
      <c r="I6" s="33"/>
      <c r="J6" s="11"/>
      <c r="K6" s="11"/>
      <c r="L6" s="33"/>
      <c r="M6" s="33"/>
      <c r="N6" s="33"/>
      <c r="O6" s="33"/>
      <c r="P6" s="33"/>
      <c r="Q6" s="11"/>
      <c r="R6" s="11"/>
      <c r="S6" s="33"/>
      <c r="T6" s="33"/>
      <c r="U6" s="33"/>
      <c r="V6" s="33"/>
      <c r="W6" s="33"/>
      <c r="X6" s="11"/>
      <c r="Y6" s="11"/>
      <c r="Z6" s="33"/>
      <c r="AA6" s="33"/>
      <c r="AB6" s="33"/>
      <c r="AC6" s="33"/>
      <c r="AD6" s="33"/>
      <c r="AE6" s="11"/>
      <c r="AF6" s="11"/>
      <c r="AG6" s="33"/>
      <c r="AH6" s="33"/>
      <c r="AI6" s="35"/>
      <c r="AL6" s="47"/>
      <c r="AM6" s="23"/>
      <c r="AN6" s="29">
        <v>0</v>
      </c>
    </row>
    <row r="7" spans="5:40" ht="15.75" thickBot="1" x14ac:dyDescent="0.25">
      <c r="AL7" s="47"/>
      <c r="AM7" s="23"/>
      <c r="AN7" s="24"/>
    </row>
    <row r="8" spans="5:40" x14ac:dyDescent="0.2">
      <c r="E8" s="194">
        <v>46023</v>
      </c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6"/>
      <c r="AL8" s="47">
        <f>SUM(AL1+2.5-AN6)</f>
        <v>70.5</v>
      </c>
      <c r="AM8" s="23"/>
      <c r="AN8" s="24"/>
    </row>
    <row r="9" spans="5:40" x14ac:dyDescent="0.2">
      <c r="E9" s="111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3"/>
      <c r="AL9" s="47"/>
      <c r="AM9" s="23"/>
      <c r="AN9" s="24"/>
    </row>
    <row r="10" spans="5:40" x14ac:dyDescent="0.2">
      <c r="E10" s="30">
        <v>1</v>
      </c>
      <c r="F10" s="31">
        <v>2</v>
      </c>
      <c r="G10" s="38">
        <v>3</v>
      </c>
      <c r="H10" s="38">
        <v>4</v>
      </c>
      <c r="I10" s="31">
        <v>5</v>
      </c>
      <c r="J10" s="31">
        <v>6</v>
      </c>
      <c r="K10" s="31">
        <v>7</v>
      </c>
      <c r="L10" s="31">
        <v>8</v>
      </c>
      <c r="M10" s="31">
        <v>9</v>
      </c>
      <c r="N10" s="38">
        <v>10</v>
      </c>
      <c r="O10" s="38">
        <v>11</v>
      </c>
      <c r="P10" s="31">
        <v>12</v>
      </c>
      <c r="Q10" s="31">
        <v>13</v>
      </c>
      <c r="R10" s="31">
        <v>14</v>
      </c>
      <c r="S10" s="31">
        <v>15</v>
      </c>
      <c r="T10" s="31">
        <v>16</v>
      </c>
      <c r="U10" s="38">
        <v>17</v>
      </c>
      <c r="V10" s="38">
        <v>18</v>
      </c>
      <c r="W10" s="31">
        <v>19</v>
      </c>
      <c r="X10" s="31">
        <v>20</v>
      </c>
      <c r="Y10" s="31">
        <v>21</v>
      </c>
      <c r="Z10" s="31">
        <v>22</v>
      </c>
      <c r="AA10" s="31">
        <v>23</v>
      </c>
      <c r="AB10" s="38">
        <v>24</v>
      </c>
      <c r="AC10" s="38">
        <v>25</v>
      </c>
      <c r="AD10" s="31">
        <v>26</v>
      </c>
      <c r="AE10" s="31">
        <v>27</v>
      </c>
      <c r="AF10" s="31">
        <v>28</v>
      </c>
      <c r="AG10" s="31">
        <v>29</v>
      </c>
      <c r="AH10" s="31">
        <v>30</v>
      </c>
      <c r="AI10" s="40">
        <v>31</v>
      </c>
      <c r="AL10" s="47"/>
      <c r="AM10" s="23"/>
      <c r="AN10" s="24"/>
    </row>
    <row r="11" spans="5:40" x14ac:dyDescent="0.2">
      <c r="E11" s="223" t="s">
        <v>5</v>
      </c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6"/>
      <c r="AC11" s="227" t="s">
        <v>37</v>
      </c>
      <c r="AD11" s="228"/>
      <c r="AE11" s="228"/>
      <c r="AF11" s="228"/>
      <c r="AG11" s="228"/>
      <c r="AH11" s="228"/>
      <c r="AI11" s="229"/>
      <c r="AL11" s="47"/>
      <c r="AM11" s="23"/>
      <c r="AN11" s="24"/>
    </row>
    <row r="12" spans="5:40" ht="15.75" thickBot="1" x14ac:dyDescent="0.25">
      <c r="E12" s="30"/>
      <c r="F12" s="31"/>
      <c r="G12" s="38"/>
      <c r="H12" s="38"/>
      <c r="I12" s="31"/>
      <c r="J12" s="31"/>
      <c r="K12" s="31"/>
      <c r="L12" s="31"/>
      <c r="M12" s="31"/>
      <c r="N12" s="38"/>
      <c r="O12" s="38"/>
      <c r="P12" s="31"/>
      <c r="Q12" s="31"/>
      <c r="R12" s="31"/>
      <c r="S12" s="31"/>
      <c r="T12" s="31"/>
      <c r="U12" s="38"/>
      <c r="V12" s="38"/>
      <c r="W12" s="31"/>
      <c r="X12" s="31"/>
      <c r="Y12" s="31"/>
      <c r="Z12" s="31"/>
      <c r="AA12" s="33"/>
      <c r="AB12" s="39"/>
      <c r="AC12" s="39"/>
      <c r="AD12" s="33"/>
      <c r="AE12" s="33"/>
      <c r="AF12" s="33"/>
      <c r="AG12" s="33"/>
      <c r="AH12" s="33"/>
      <c r="AI12" s="41"/>
      <c r="AL12" s="47"/>
      <c r="AM12" s="23"/>
      <c r="AN12" s="24"/>
    </row>
    <row r="13" spans="5:40" ht="15.75" thickBot="1" x14ac:dyDescent="0.25">
      <c r="E13" s="32"/>
      <c r="F13" s="33"/>
      <c r="G13" s="39"/>
      <c r="H13" s="39"/>
      <c r="I13" s="33"/>
      <c r="J13" s="33"/>
      <c r="K13" s="33"/>
      <c r="L13" s="33"/>
      <c r="M13" s="33"/>
      <c r="N13" s="39"/>
      <c r="O13" s="39"/>
      <c r="P13" s="45"/>
      <c r="Q13" s="221" t="s">
        <v>8</v>
      </c>
      <c r="R13" s="222"/>
      <c r="S13" s="222"/>
      <c r="T13" s="46"/>
      <c r="U13" s="39"/>
      <c r="V13" s="39"/>
      <c r="W13" s="33"/>
      <c r="X13" s="33"/>
      <c r="Y13" s="33"/>
      <c r="Z13" s="33"/>
      <c r="AA13" s="33"/>
      <c r="AB13" s="39"/>
      <c r="AC13" s="39"/>
      <c r="AD13" s="33"/>
      <c r="AE13" s="33"/>
      <c r="AF13" s="33"/>
      <c r="AG13" s="33"/>
      <c r="AH13" s="33"/>
      <c r="AI13" s="41"/>
      <c r="AL13" s="47"/>
      <c r="AM13" s="23"/>
      <c r="AN13" s="29">
        <v>7</v>
      </c>
    </row>
    <row r="14" spans="5:40" ht="15.75" thickBot="1" x14ac:dyDescent="0.25">
      <c r="AL14" s="47"/>
      <c r="AM14" s="23"/>
      <c r="AN14" s="24"/>
    </row>
    <row r="15" spans="5:40" x14ac:dyDescent="0.2">
      <c r="E15" s="194">
        <v>46054</v>
      </c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6"/>
      <c r="AL15" s="47">
        <f>SUM(AL8+2.5-AN13)</f>
        <v>66</v>
      </c>
      <c r="AM15" s="23"/>
      <c r="AN15" s="24"/>
    </row>
    <row r="16" spans="5:40" x14ac:dyDescent="0.2">
      <c r="E16" s="42">
        <v>1</v>
      </c>
      <c r="F16" s="1">
        <v>2</v>
      </c>
      <c r="G16" s="1">
        <v>3</v>
      </c>
      <c r="H16" s="1">
        <v>4</v>
      </c>
      <c r="I16" s="31">
        <v>5</v>
      </c>
      <c r="J16" s="31">
        <v>6</v>
      </c>
      <c r="K16" s="38">
        <v>7</v>
      </c>
      <c r="L16" s="38">
        <v>8</v>
      </c>
      <c r="M16" s="31">
        <v>9</v>
      </c>
      <c r="N16" s="31">
        <v>10</v>
      </c>
      <c r="O16" s="31">
        <v>11</v>
      </c>
      <c r="P16" s="31">
        <v>12</v>
      </c>
      <c r="Q16" s="31">
        <v>13</v>
      </c>
      <c r="R16" s="38">
        <v>14</v>
      </c>
      <c r="S16" s="38">
        <v>15</v>
      </c>
      <c r="T16" s="31">
        <v>16</v>
      </c>
      <c r="U16" s="31">
        <v>17</v>
      </c>
      <c r="V16" s="31">
        <v>18</v>
      </c>
      <c r="W16" s="31">
        <v>19</v>
      </c>
      <c r="X16" s="31">
        <v>20</v>
      </c>
      <c r="Y16" s="38">
        <v>21</v>
      </c>
      <c r="Z16" s="38">
        <v>22</v>
      </c>
      <c r="AA16" s="31">
        <v>23</v>
      </c>
      <c r="AB16" s="31">
        <v>24</v>
      </c>
      <c r="AC16" s="31">
        <v>25</v>
      </c>
      <c r="AD16" s="31">
        <v>26</v>
      </c>
      <c r="AE16" s="31">
        <v>27</v>
      </c>
      <c r="AF16" s="38">
        <v>28</v>
      </c>
      <c r="AG16" s="38">
        <v>29</v>
      </c>
      <c r="AH16" s="1"/>
      <c r="AI16" s="5"/>
      <c r="AL16" s="47"/>
      <c r="AM16" s="23"/>
      <c r="AN16" s="24"/>
    </row>
    <row r="17" spans="5:42" x14ac:dyDescent="0.2">
      <c r="E17" s="18"/>
      <c r="F17" s="233" t="s">
        <v>5</v>
      </c>
      <c r="G17" s="224"/>
      <c r="H17" s="224"/>
      <c r="I17" s="224"/>
      <c r="J17" s="224"/>
      <c r="K17" s="224"/>
      <c r="L17" s="224"/>
      <c r="M17" s="224"/>
      <c r="N17" s="226"/>
      <c r="O17" s="234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6"/>
      <c r="AG17" s="38"/>
      <c r="AH17" s="1"/>
      <c r="AI17" s="5"/>
      <c r="AL17" s="47"/>
      <c r="AM17" s="23"/>
      <c r="AN17" s="24"/>
    </row>
    <row r="18" spans="5:42" ht="15.75" thickBot="1" x14ac:dyDescent="0.25">
      <c r="E18" s="18" t="s">
        <v>4</v>
      </c>
      <c r="F18" s="1"/>
      <c r="G18" s="1"/>
      <c r="H18" s="1"/>
      <c r="I18" s="31"/>
      <c r="J18" s="31"/>
      <c r="K18" s="38"/>
      <c r="L18" s="38"/>
      <c r="M18" s="31"/>
      <c r="N18" s="31"/>
      <c r="O18" s="31"/>
      <c r="P18" s="31"/>
      <c r="Q18" s="31"/>
      <c r="R18" s="38"/>
      <c r="S18" s="38"/>
      <c r="T18" s="31"/>
      <c r="U18" s="31"/>
      <c r="V18" s="31"/>
      <c r="W18" s="31"/>
      <c r="X18" s="31"/>
      <c r="Y18" s="38"/>
      <c r="Z18" s="237" t="s">
        <v>7</v>
      </c>
      <c r="AA18" s="238"/>
      <c r="AB18" s="238"/>
      <c r="AC18" s="238"/>
      <c r="AD18" s="238"/>
      <c r="AE18" s="238"/>
      <c r="AF18" s="238"/>
      <c r="AG18" s="110"/>
      <c r="AH18" s="1"/>
      <c r="AI18" s="5"/>
      <c r="AL18" s="47"/>
      <c r="AM18" s="23"/>
      <c r="AN18" s="24"/>
    </row>
    <row r="19" spans="5:42" ht="15.75" thickBot="1" x14ac:dyDescent="0.25">
      <c r="E19" s="19"/>
      <c r="F19" s="7"/>
      <c r="G19" s="7"/>
      <c r="H19" s="7"/>
      <c r="I19" s="33"/>
      <c r="J19" s="33"/>
      <c r="K19" s="39"/>
      <c r="L19" s="39"/>
      <c r="M19" s="22" t="s">
        <v>9</v>
      </c>
      <c r="N19" s="33"/>
      <c r="O19" s="33"/>
      <c r="P19" s="33"/>
      <c r="Q19" s="33"/>
      <c r="R19" s="39"/>
      <c r="S19" s="39"/>
      <c r="T19" s="33"/>
      <c r="U19" s="33"/>
      <c r="V19" s="33"/>
      <c r="W19" s="33"/>
      <c r="X19" s="33"/>
      <c r="Y19" s="39"/>
      <c r="Z19" s="39"/>
      <c r="AA19" s="33"/>
      <c r="AB19" s="33"/>
      <c r="AC19" s="33"/>
      <c r="AD19" s="33"/>
      <c r="AE19" s="33"/>
      <c r="AF19" s="39"/>
      <c r="AG19" s="39"/>
      <c r="AH19" s="7"/>
      <c r="AI19" s="8"/>
      <c r="AL19" s="47"/>
      <c r="AM19" s="23"/>
      <c r="AN19" s="29">
        <v>1</v>
      </c>
    </row>
    <row r="20" spans="5:42" ht="15.75" thickBot="1" x14ac:dyDescent="0.25">
      <c r="AL20" s="47"/>
      <c r="AM20" s="23"/>
      <c r="AN20" s="28"/>
    </row>
    <row r="21" spans="5:42" x14ac:dyDescent="0.2">
      <c r="E21" s="194">
        <v>46082</v>
      </c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6"/>
      <c r="AK21" s="176" t="s">
        <v>0</v>
      </c>
      <c r="AL21" s="47">
        <f>SUM(AL15+2.5-AN19)</f>
        <v>67.5</v>
      </c>
      <c r="AM21" s="23"/>
      <c r="AN21" s="24"/>
    </row>
    <row r="22" spans="5:42" x14ac:dyDescent="0.2">
      <c r="E22" s="42">
        <v>1</v>
      </c>
      <c r="F22" s="1">
        <v>2</v>
      </c>
      <c r="G22" s="31">
        <v>3</v>
      </c>
      <c r="H22" s="31">
        <v>4</v>
      </c>
      <c r="I22" s="31">
        <v>5</v>
      </c>
      <c r="J22" s="31">
        <v>6</v>
      </c>
      <c r="K22" s="38">
        <v>7</v>
      </c>
      <c r="L22" s="38">
        <v>8</v>
      </c>
      <c r="M22" s="31">
        <v>9</v>
      </c>
      <c r="N22" s="31">
        <v>10</v>
      </c>
      <c r="O22" s="31">
        <v>11</v>
      </c>
      <c r="P22" s="31">
        <v>12</v>
      </c>
      <c r="Q22" s="31">
        <v>13</v>
      </c>
      <c r="R22" s="38">
        <v>14</v>
      </c>
      <c r="S22" s="38">
        <v>15</v>
      </c>
      <c r="T22" s="31">
        <v>16</v>
      </c>
      <c r="U22" s="31">
        <v>17</v>
      </c>
      <c r="V22" s="31">
        <v>18</v>
      </c>
      <c r="W22" s="31">
        <v>19</v>
      </c>
      <c r="X22" s="31">
        <v>20</v>
      </c>
      <c r="Y22" s="38">
        <v>21</v>
      </c>
      <c r="Z22" s="38">
        <v>22</v>
      </c>
      <c r="AA22" s="31">
        <v>23</v>
      </c>
      <c r="AB22" s="31">
        <v>24</v>
      </c>
      <c r="AC22" s="31">
        <v>25</v>
      </c>
      <c r="AD22" s="31">
        <v>26</v>
      </c>
      <c r="AE22" s="31">
        <v>27</v>
      </c>
      <c r="AF22" s="38">
        <v>28</v>
      </c>
      <c r="AG22" s="38">
        <v>29</v>
      </c>
      <c r="AH22" s="31">
        <v>30</v>
      </c>
      <c r="AI22" s="34">
        <v>31</v>
      </c>
      <c r="AL22" s="47"/>
      <c r="AM22" s="23"/>
      <c r="AN22" s="24"/>
    </row>
    <row r="23" spans="5:42" x14ac:dyDescent="0.2">
      <c r="E23" s="223" t="s">
        <v>5</v>
      </c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5"/>
      <c r="AL23" s="47"/>
      <c r="AM23" s="23"/>
      <c r="AN23" s="24"/>
    </row>
    <row r="24" spans="5:42" ht="15.75" thickBot="1" x14ac:dyDescent="0.25">
      <c r="E24" s="237" t="s">
        <v>6</v>
      </c>
      <c r="F24" s="239"/>
      <c r="G24" s="239"/>
      <c r="H24" s="239"/>
      <c r="I24" s="239"/>
      <c r="J24" s="239"/>
      <c r="K24" s="239"/>
      <c r="L24" s="240"/>
      <c r="M24" s="241" t="s">
        <v>10</v>
      </c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3"/>
      <c r="Y24" s="38"/>
      <c r="Z24" s="38"/>
      <c r="AA24" s="237" t="s">
        <v>13</v>
      </c>
      <c r="AB24" s="239"/>
      <c r="AC24" s="239"/>
      <c r="AD24" s="237" t="s">
        <v>14</v>
      </c>
      <c r="AE24" s="239"/>
      <c r="AF24" s="239"/>
      <c r="AG24" s="39"/>
      <c r="AH24" s="31"/>
      <c r="AI24" s="34"/>
      <c r="AL24" s="47"/>
      <c r="AM24" s="23"/>
      <c r="AN24" s="24"/>
    </row>
    <row r="25" spans="5:42" ht="15.75" thickBot="1" x14ac:dyDescent="0.25">
      <c r="E25" s="43"/>
      <c r="F25" s="7"/>
      <c r="G25" s="33"/>
      <c r="H25" s="33"/>
      <c r="I25" s="33"/>
      <c r="J25" s="33"/>
      <c r="K25" s="39"/>
      <c r="L25" s="39"/>
      <c r="M25" s="33"/>
      <c r="N25" s="33"/>
      <c r="O25" s="33"/>
      <c r="P25" s="33"/>
      <c r="Q25" s="33"/>
      <c r="R25" s="39"/>
      <c r="S25" s="39"/>
      <c r="T25" s="33"/>
      <c r="U25" s="33"/>
      <c r="V25" s="33"/>
      <c r="W25" s="33"/>
      <c r="X25" s="33"/>
      <c r="Y25" s="39"/>
      <c r="Z25" s="39"/>
      <c r="AA25" s="33"/>
      <c r="AB25" s="33"/>
      <c r="AC25" s="33"/>
      <c r="AD25" s="33"/>
      <c r="AE25" s="33"/>
      <c r="AF25" s="39"/>
      <c r="AG25" s="39"/>
      <c r="AH25" s="33"/>
      <c r="AI25" s="35"/>
      <c r="AL25" s="47"/>
      <c r="AM25" s="23"/>
      <c r="AN25" s="29">
        <v>0</v>
      </c>
    </row>
    <row r="26" spans="5:42" ht="30" thickBot="1" x14ac:dyDescent="0.45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L26" s="47"/>
      <c r="AM26" s="23"/>
      <c r="AN26" s="28"/>
      <c r="AP26" s="126" t="s">
        <v>42</v>
      </c>
    </row>
    <row r="27" spans="5:42" ht="30" thickBot="1" x14ac:dyDescent="0.45">
      <c r="E27" s="190">
        <v>46113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2"/>
      <c r="AH27" s="192"/>
      <c r="AI27" s="193"/>
      <c r="AK27" s="176" t="s">
        <v>50</v>
      </c>
      <c r="AL27" s="47">
        <v>69</v>
      </c>
      <c r="AM27" s="23"/>
      <c r="AN27" s="24"/>
      <c r="AP27" s="126">
        <v>23</v>
      </c>
    </row>
    <row r="28" spans="5:42" ht="29.25" x14ac:dyDescent="0.4">
      <c r="E28" s="36">
        <v>1</v>
      </c>
      <c r="F28" s="37">
        <v>2</v>
      </c>
      <c r="G28" s="37">
        <v>3</v>
      </c>
      <c r="H28" s="44">
        <v>4</v>
      </c>
      <c r="I28" s="44">
        <v>5</v>
      </c>
      <c r="J28" s="37">
        <v>6</v>
      </c>
      <c r="K28" s="37">
        <v>7</v>
      </c>
      <c r="L28" s="37">
        <v>8</v>
      </c>
      <c r="M28" s="37">
        <v>9</v>
      </c>
      <c r="N28" s="37">
        <v>10</v>
      </c>
      <c r="O28" s="44">
        <v>11</v>
      </c>
      <c r="P28" s="44">
        <v>12</v>
      </c>
      <c r="Q28" s="37">
        <v>13</v>
      </c>
      <c r="R28" s="37">
        <v>14</v>
      </c>
      <c r="S28" s="37">
        <v>15</v>
      </c>
      <c r="T28" s="37">
        <v>16</v>
      </c>
      <c r="U28" s="37">
        <v>17</v>
      </c>
      <c r="V28" s="44">
        <v>18</v>
      </c>
      <c r="W28" s="44">
        <v>19</v>
      </c>
      <c r="X28" s="37">
        <v>20</v>
      </c>
      <c r="Y28" s="37">
        <v>21</v>
      </c>
      <c r="Z28" s="37">
        <v>22</v>
      </c>
      <c r="AA28" s="37">
        <v>23</v>
      </c>
      <c r="AB28" s="37">
        <v>24</v>
      </c>
      <c r="AC28" s="44">
        <v>25</v>
      </c>
      <c r="AD28" s="44">
        <v>26</v>
      </c>
      <c r="AE28" s="37">
        <v>27</v>
      </c>
      <c r="AF28" s="37">
        <v>28</v>
      </c>
      <c r="AG28" s="37">
        <v>29</v>
      </c>
      <c r="AH28" s="2">
        <v>30</v>
      </c>
      <c r="AI28" s="3"/>
      <c r="AL28" s="47"/>
      <c r="AM28" s="23"/>
      <c r="AN28" s="24"/>
      <c r="AP28" s="126"/>
    </row>
    <row r="29" spans="5:42" ht="29.25" customHeight="1" x14ac:dyDescent="0.4">
      <c r="E29" s="230" t="s">
        <v>19</v>
      </c>
      <c r="F29" s="231"/>
      <c r="G29" s="232"/>
      <c r="H29" s="223" t="s">
        <v>5</v>
      </c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157"/>
      <c r="AI29" s="71"/>
      <c r="AL29" s="47"/>
      <c r="AM29" s="23"/>
      <c r="AN29" s="24"/>
      <c r="AP29" s="126"/>
    </row>
    <row r="30" spans="5:42" ht="30" thickBot="1" x14ac:dyDescent="0.45">
      <c r="E30" s="30"/>
      <c r="F30" s="31"/>
      <c r="G30" s="31"/>
      <c r="H30" s="38"/>
      <c r="I30" s="38"/>
      <c r="J30" s="31"/>
      <c r="K30" s="31"/>
      <c r="L30" s="31"/>
      <c r="M30" s="31"/>
      <c r="N30" s="31"/>
      <c r="O30" s="38"/>
      <c r="P30" s="38"/>
      <c r="Q30" s="31"/>
      <c r="R30" s="31"/>
      <c r="S30" s="31"/>
      <c r="T30" s="31"/>
      <c r="U30" s="31"/>
      <c r="V30" s="38"/>
      <c r="W30" s="38"/>
      <c r="X30" s="33"/>
      <c r="Y30" s="33"/>
      <c r="Z30" s="33"/>
      <c r="AA30" s="33"/>
      <c r="AB30" s="33"/>
      <c r="AC30" s="39"/>
      <c r="AD30" s="39"/>
      <c r="AE30" s="33"/>
      <c r="AF30" s="33"/>
      <c r="AG30" s="33"/>
      <c r="AH30" s="7"/>
      <c r="AI30" s="8"/>
      <c r="AL30" s="47"/>
      <c r="AM30" s="23"/>
      <c r="AN30" s="24"/>
      <c r="AP30" s="126"/>
    </row>
    <row r="31" spans="5:42" ht="30" thickBot="1" x14ac:dyDescent="0.45">
      <c r="E31" s="32"/>
      <c r="F31" s="33"/>
      <c r="G31" s="33"/>
      <c r="H31" s="39"/>
      <c r="I31" s="39"/>
      <c r="J31" s="33"/>
      <c r="K31" s="33"/>
      <c r="L31" s="33"/>
      <c r="M31" s="33"/>
      <c r="N31" s="33"/>
      <c r="O31" s="39"/>
      <c r="P31" s="39"/>
      <c r="Q31" s="33"/>
      <c r="R31" s="33"/>
      <c r="S31" s="33"/>
      <c r="T31" s="33"/>
      <c r="U31" s="33"/>
      <c r="V31" s="39"/>
      <c r="W31" s="39"/>
      <c r="X31" s="33"/>
      <c r="Y31" s="33"/>
      <c r="Z31" s="33"/>
      <c r="AA31" s="33"/>
      <c r="AB31" s="33"/>
      <c r="AC31" s="39"/>
      <c r="AD31" s="39"/>
      <c r="AE31" s="33"/>
      <c r="AF31" s="33"/>
      <c r="AG31" s="33"/>
      <c r="AH31" s="7"/>
      <c r="AI31" s="8"/>
      <c r="AL31" s="47"/>
      <c r="AM31" s="23"/>
      <c r="AN31" s="29">
        <v>4</v>
      </c>
      <c r="AP31" s="126">
        <f>SUM(AP27-AN31)</f>
        <v>19</v>
      </c>
    </row>
    <row r="32" spans="5:42" ht="30" thickBot="1" x14ac:dyDescent="0.45">
      <c r="AL32" s="47"/>
      <c r="AM32" s="23"/>
      <c r="AN32" s="24"/>
      <c r="AP32" s="126"/>
    </row>
    <row r="33" spans="2:42" ht="29.25" x14ac:dyDescent="0.4">
      <c r="E33" s="194">
        <v>46143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6"/>
      <c r="AK33" s="176" t="s">
        <v>51</v>
      </c>
      <c r="AL33" s="47">
        <v>68</v>
      </c>
      <c r="AM33" s="23"/>
      <c r="AN33" s="24"/>
      <c r="AP33" s="126"/>
    </row>
    <row r="34" spans="2:42" ht="29.25" x14ac:dyDescent="0.4">
      <c r="E34" s="4">
        <v>1</v>
      </c>
      <c r="F34" s="38">
        <v>2</v>
      </c>
      <c r="G34" s="38">
        <v>3</v>
      </c>
      <c r="H34" s="31">
        <v>4</v>
      </c>
      <c r="I34" s="31">
        <v>5</v>
      </c>
      <c r="J34" s="31">
        <v>6</v>
      </c>
      <c r="K34" s="31">
        <v>7</v>
      </c>
      <c r="L34" s="31">
        <v>8</v>
      </c>
      <c r="M34" s="38">
        <v>9</v>
      </c>
      <c r="N34" s="38">
        <v>10</v>
      </c>
      <c r="O34" s="31">
        <v>11</v>
      </c>
      <c r="P34" s="31">
        <v>12</v>
      </c>
      <c r="Q34" s="31">
        <v>13</v>
      </c>
      <c r="R34" s="31">
        <v>14</v>
      </c>
      <c r="S34" s="31">
        <v>15</v>
      </c>
      <c r="T34" s="38">
        <v>16</v>
      </c>
      <c r="U34" s="38">
        <v>17</v>
      </c>
      <c r="V34" s="31">
        <v>18</v>
      </c>
      <c r="W34" s="31">
        <v>19</v>
      </c>
      <c r="X34" s="31">
        <v>20</v>
      </c>
      <c r="Y34" s="31">
        <v>21</v>
      </c>
      <c r="Z34" s="31">
        <v>22</v>
      </c>
      <c r="AA34" s="38">
        <v>23</v>
      </c>
      <c r="AB34" s="38">
        <v>24</v>
      </c>
      <c r="AC34" s="31">
        <v>25</v>
      </c>
      <c r="AD34" s="31">
        <v>26</v>
      </c>
      <c r="AE34" s="31">
        <v>27</v>
      </c>
      <c r="AF34" s="31">
        <v>28</v>
      </c>
      <c r="AG34" s="31">
        <v>29</v>
      </c>
      <c r="AH34" s="38">
        <v>30</v>
      </c>
      <c r="AI34" s="40">
        <v>31</v>
      </c>
      <c r="AL34" s="47"/>
      <c r="AM34" s="23"/>
      <c r="AN34" s="24"/>
      <c r="AP34" s="126"/>
    </row>
    <row r="35" spans="2:42" ht="29.25" x14ac:dyDescent="0.4">
      <c r="E35" s="158" t="s">
        <v>87</v>
      </c>
      <c r="F35" s="223" t="s">
        <v>5</v>
      </c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5"/>
      <c r="AL35" s="47"/>
      <c r="AM35" s="23"/>
      <c r="AN35" s="24"/>
      <c r="AP35" s="126"/>
    </row>
    <row r="36" spans="2:42" ht="30" thickBot="1" x14ac:dyDescent="0.45">
      <c r="E36" s="4"/>
      <c r="F36" s="38"/>
      <c r="G36" s="38"/>
      <c r="H36" s="31"/>
      <c r="I36" s="31"/>
      <c r="J36" s="31"/>
      <c r="K36" s="31"/>
      <c r="L36" s="31"/>
      <c r="M36" s="38"/>
      <c r="N36" s="38"/>
      <c r="O36" s="31"/>
      <c r="P36" s="31"/>
      <c r="Q36" s="31"/>
      <c r="R36" s="31"/>
      <c r="S36" s="31"/>
      <c r="T36" s="38"/>
      <c r="U36" s="38"/>
      <c r="V36" s="31"/>
      <c r="W36" s="31"/>
      <c r="X36" s="31"/>
      <c r="Y36" s="31"/>
      <c r="Z36" s="31"/>
      <c r="AA36" s="38"/>
      <c r="AB36" s="38"/>
      <c r="AC36" s="31"/>
      <c r="AD36" s="31"/>
      <c r="AE36" s="31"/>
      <c r="AF36" s="31"/>
      <c r="AG36" s="31"/>
      <c r="AH36" s="38"/>
      <c r="AI36" s="40"/>
      <c r="AL36" s="47"/>
      <c r="AM36" s="23"/>
      <c r="AN36" s="24"/>
      <c r="AP36" s="126"/>
    </row>
    <row r="37" spans="2:42" ht="30" thickBot="1" x14ac:dyDescent="0.45">
      <c r="E37" s="6"/>
      <c r="F37" s="39"/>
      <c r="G37" s="39"/>
      <c r="H37" s="33"/>
      <c r="I37" s="33"/>
      <c r="J37" s="33"/>
      <c r="K37" s="33"/>
      <c r="L37" s="33"/>
      <c r="M37" s="39"/>
      <c r="N37" s="39"/>
      <c r="O37" s="33"/>
      <c r="P37" s="33"/>
      <c r="Q37" s="33"/>
      <c r="R37" s="33"/>
      <c r="S37" s="33"/>
      <c r="T37" s="39"/>
      <c r="U37" s="39"/>
      <c r="V37" s="33"/>
      <c r="W37" s="33"/>
      <c r="X37" s="33"/>
      <c r="Y37" s="33"/>
      <c r="Z37" s="33"/>
      <c r="AA37" s="39"/>
      <c r="AB37" s="39"/>
      <c r="AC37" s="33"/>
      <c r="AD37" s="33"/>
      <c r="AE37" s="33"/>
      <c r="AF37" s="33"/>
      <c r="AG37" s="33"/>
      <c r="AH37" s="39"/>
      <c r="AI37" s="41"/>
      <c r="AL37" s="47"/>
      <c r="AM37" s="23"/>
      <c r="AN37" s="29">
        <v>1</v>
      </c>
      <c r="AP37" s="126">
        <f>SUM(AP31-AN37)</f>
        <v>18</v>
      </c>
    </row>
    <row r="38" spans="2:42" ht="30" thickBot="1" x14ac:dyDescent="0.4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L38" s="47"/>
      <c r="AM38" s="23"/>
      <c r="AN38" s="24"/>
      <c r="AP38" s="126"/>
    </row>
    <row r="39" spans="2:42" ht="30" thickBot="1" x14ac:dyDescent="0.45">
      <c r="E39" s="190">
        <v>46174</v>
      </c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2"/>
      <c r="AH39" s="192"/>
      <c r="AI39" s="193"/>
      <c r="AK39" s="176" t="s">
        <v>52</v>
      </c>
      <c r="AL39" s="47">
        <f>SUM(AL33+2.5-AN37)</f>
        <v>69.5</v>
      </c>
      <c r="AM39" s="23"/>
      <c r="AN39" s="24"/>
      <c r="AP39" s="126"/>
    </row>
    <row r="40" spans="2:42" ht="29.25" x14ac:dyDescent="0.4">
      <c r="E40" s="36">
        <v>1</v>
      </c>
      <c r="F40" s="37">
        <v>2</v>
      </c>
      <c r="G40" s="37">
        <v>3</v>
      </c>
      <c r="H40" s="37">
        <v>4</v>
      </c>
      <c r="I40" s="37">
        <v>5</v>
      </c>
      <c r="J40" s="44">
        <v>6</v>
      </c>
      <c r="K40" s="44">
        <v>7</v>
      </c>
      <c r="L40" s="37">
        <v>8</v>
      </c>
      <c r="M40" s="37">
        <v>9</v>
      </c>
      <c r="N40" s="37">
        <v>10</v>
      </c>
      <c r="O40" s="37">
        <v>11</v>
      </c>
      <c r="P40" s="37">
        <v>12</v>
      </c>
      <c r="Q40" s="44">
        <v>13</v>
      </c>
      <c r="R40" s="44">
        <v>14</v>
      </c>
      <c r="S40" s="37">
        <v>15</v>
      </c>
      <c r="T40" s="37">
        <v>16</v>
      </c>
      <c r="U40" s="37">
        <v>17</v>
      </c>
      <c r="V40" s="37">
        <v>18</v>
      </c>
      <c r="W40" s="37">
        <v>19</v>
      </c>
      <c r="X40" s="44">
        <v>20</v>
      </c>
      <c r="Y40" s="44">
        <v>21</v>
      </c>
      <c r="Z40" s="37">
        <v>22</v>
      </c>
      <c r="AA40" s="37">
        <v>23</v>
      </c>
      <c r="AB40" s="37">
        <v>24</v>
      </c>
      <c r="AC40" s="37">
        <v>25</v>
      </c>
      <c r="AD40" s="37">
        <v>26</v>
      </c>
      <c r="AE40" s="44">
        <v>27</v>
      </c>
      <c r="AF40" s="44">
        <v>28</v>
      </c>
      <c r="AG40" s="37">
        <v>29</v>
      </c>
      <c r="AH40" s="2">
        <v>30</v>
      </c>
      <c r="AI40" s="3"/>
      <c r="AL40" s="47"/>
      <c r="AM40" s="23"/>
      <c r="AN40" s="24"/>
      <c r="AP40" s="126"/>
    </row>
    <row r="41" spans="2:42" ht="29.25" x14ac:dyDescent="0.4">
      <c r="E41" s="223" t="s">
        <v>5</v>
      </c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6"/>
      <c r="AI41" s="5"/>
      <c r="AL41" s="47"/>
      <c r="AM41" s="23"/>
      <c r="AN41" s="24"/>
      <c r="AP41" s="126"/>
    </row>
    <row r="42" spans="2:42" ht="30" thickBot="1" x14ac:dyDescent="0.45">
      <c r="E42" s="30"/>
      <c r="F42" s="31"/>
      <c r="G42" s="31"/>
      <c r="H42" s="31"/>
      <c r="I42" s="31"/>
      <c r="J42" s="38"/>
      <c r="K42" s="38"/>
      <c r="L42" s="31"/>
      <c r="M42" s="31"/>
      <c r="N42" s="87" t="str">
        <f>(E140)</f>
        <v>VA Individual Appointments</v>
      </c>
      <c r="O42" s="31"/>
      <c r="P42" s="31"/>
      <c r="Q42" s="38"/>
      <c r="R42" s="38"/>
      <c r="S42" s="31"/>
      <c r="T42" s="31"/>
      <c r="U42" s="31"/>
      <c r="V42" s="31"/>
      <c r="W42" s="31"/>
      <c r="X42" s="38"/>
      <c r="Y42" s="38"/>
      <c r="Z42" s="31"/>
      <c r="AA42" s="31"/>
      <c r="AB42" s="31"/>
      <c r="AC42" s="31"/>
      <c r="AD42" s="31"/>
      <c r="AE42" s="38"/>
      <c r="AF42" s="38"/>
      <c r="AG42" s="31"/>
      <c r="AH42" s="1"/>
      <c r="AI42" s="5"/>
      <c r="AL42" s="47"/>
      <c r="AM42" s="23"/>
      <c r="AN42" s="24"/>
      <c r="AP42" s="126"/>
    </row>
    <row r="43" spans="2:42" ht="30" thickBot="1" x14ac:dyDescent="0.45">
      <c r="E43" s="32"/>
      <c r="F43" s="33"/>
      <c r="G43" s="33"/>
      <c r="H43" s="33"/>
      <c r="I43" s="33"/>
      <c r="J43" s="39"/>
      <c r="K43" s="39"/>
      <c r="L43" s="33"/>
      <c r="M43" s="33"/>
      <c r="N43" s="33"/>
      <c r="O43" s="33"/>
      <c r="P43" s="33"/>
      <c r="Q43" s="39"/>
      <c r="R43" s="39"/>
      <c r="S43" s="33"/>
      <c r="T43" s="33"/>
      <c r="U43" s="33"/>
      <c r="V43" s="33"/>
      <c r="W43" s="143" t="s">
        <v>91</v>
      </c>
      <c r="X43" s="127" t="s">
        <v>43</v>
      </c>
      <c r="Y43" s="39"/>
      <c r="Z43" s="33"/>
      <c r="AA43" s="33"/>
      <c r="AB43" s="33"/>
      <c r="AC43" s="33"/>
      <c r="AD43" s="33"/>
      <c r="AE43" s="39"/>
      <c r="AF43" s="39"/>
      <c r="AG43" s="33"/>
      <c r="AH43" s="7"/>
      <c r="AI43" s="8"/>
      <c r="AL43" s="47"/>
      <c r="AM43" s="23"/>
      <c r="AN43" s="29">
        <v>0</v>
      </c>
      <c r="AP43" s="126">
        <f>SUM(AP37-AN43)</f>
        <v>18</v>
      </c>
    </row>
    <row r="44" spans="2:42" ht="30" thickBot="1" x14ac:dyDescent="0.45"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6"/>
      <c r="AK44" s="106"/>
      <c r="AL44" s="107"/>
      <c r="AM44" s="108"/>
      <c r="AN44" s="109"/>
      <c r="AP44" s="126"/>
    </row>
    <row r="45" spans="2:42" ht="29.25" customHeight="1" x14ac:dyDescent="0.4">
      <c r="B45" s="244" t="s">
        <v>39</v>
      </c>
      <c r="C45" s="244"/>
      <c r="D45" s="179"/>
      <c r="E45" s="194">
        <v>46204</v>
      </c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6"/>
      <c r="AK45" s="176" t="s">
        <v>53</v>
      </c>
      <c r="AL45" s="47">
        <f>SUM(AL39+2.5-AN43)</f>
        <v>72</v>
      </c>
      <c r="AM45" s="23"/>
      <c r="AN45" s="24"/>
      <c r="AP45" s="126"/>
    </row>
    <row r="46" spans="2:42" ht="29.25" x14ac:dyDescent="0.4">
      <c r="B46" s="244"/>
      <c r="C46" s="244"/>
      <c r="D46" s="179"/>
      <c r="E46" s="4">
        <v>1</v>
      </c>
      <c r="F46" s="1">
        <v>2</v>
      </c>
      <c r="G46" s="1">
        <v>3</v>
      </c>
      <c r="H46" s="10">
        <v>4</v>
      </c>
      <c r="I46" s="10">
        <v>5</v>
      </c>
      <c r="J46" s="1">
        <v>6</v>
      </c>
      <c r="K46" s="1">
        <v>7</v>
      </c>
      <c r="L46" s="1">
        <v>8</v>
      </c>
      <c r="M46" s="1">
        <v>9</v>
      </c>
      <c r="N46" s="1">
        <v>10</v>
      </c>
      <c r="O46" s="10">
        <v>11</v>
      </c>
      <c r="P46" s="10">
        <v>12</v>
      </c>
      <c r="Q46" s="1">
        <v>13</v>
      </c>
      <c r="R46" s="1">
        <v>14</v>
      </c>
      <c r="S46" s="1">
        <v>15</v>
      </c>
      <c r="T46" s="1">
        <v>16</v>
      </c>
      <c r="U46" s="1">
        <v>17</v>
      </c>
      <c r="V46" s="10">
        <v>18</v>
      </c>
      <c r="W46" s="10">
        <v>19</v>
      </c>
      <c r="X46" s="1">
        <v>20</v>
      </c>
      <c r="Y46" s="1">
        <v>21</v>
      </c>
      <c r="Z46" s="1">
        <v>22</v>
      </c>
      <c r="AA46" s="1">
        <v>23</v>
      </c>
      <c r="AB46" s="1">
        <v>24</v>
      </c>
      <c r="AC46" s="10">
        <v>25</v>
      </c>
      <c r="AD46" s="10">
        <v>26</v>
      </c>
      <c r="AE46" s="1">
        <v>27</v>
      </c>
      <c r="AF46" s="1">
        <v>28</v>
      </c>
      <c r="AG46" s="1">
        <v>29</v>
      </c>
      <c r="AH46" s="1">
        <v>30</v>
      </c>
      <c r="AI46" s="5">
        <v>31</v>
      </c>
      <c r="AL46" s="47"/>
      <c r="AM46" s="23"/>
      <c r="AN46" s="24"/>
      <c r="AP46" s="126"/>
    </row>
    <row r="47" spans="2:42" ht="30" thickBot="1" x14ac:dyDescent="0.45">
      <c r="B47" s="244"/>
      <c r="C47" s="244"/>
      <c r="D47" s="179"/>
      <c r="E47" s="200" t="s">
        <v>5</v>
      </c>
      <c r="F47" s="201"/>
      <c r="G47" s="22" t="s">
        <v>3</v>
      </c>
      <c r="H47" s="10"/>
      <c r="I47" s="10"/>
      <c r="J47" s="201" t="s">
        <v>141</v>
      </c>
      <c r="K47" s="201"/>
      <c r="L47" s="201"/>
      <c r="M47" s="201"/>
      <c r="N47" s="201"/>
      <c r="O47" s="10"/>
      <c r="P47" s="10"/>
      <c r="Q47" s="66" t="s">
        <v>109</v>
      </c>
      <c r="R47" s="200" t="s">
        <v>146</v>
      </c>
      <c r="S47" s="201"/>
      <c r="T47" s="201"/>
      <c r="U47" s="201"/>
      <c r="V47" s="10"/>
      <c r="W47" s="10"/>
      <c r="X47" s="250" t="str">
        <f>(E135)</f>
        <v>Entrepreneurship 2-Day Seminar</v>
      </c>
      <c r="Y47" s="251"/>
      <c r="Z47" s="261" t="s">
        <v>147</v>
      </c>
      <c r="AA47" s="201"/>
      <c r="AB47" s="202"/>
      <c r="AC47" s="10"/>
      <c r="AD47" s="10"/>
      <c r="AE47" s="201" t="s">
        <v>141</v>
      </c>
      <c r="AF47" s="201"/>
      <c r="AG47" s="201"/>
      <c r="AH47" s="201"/>
      <c r="AI47" s="201"/>
      <c r="AL47" s="47"/>
      <c r="AM47" s="23"/>
      <c r="AN47" s="24"/>
      <c r="AP47" s="126"/>
    </row>
    <row r="48" spans="2:42" ht="30" thickBot="1" x14ac:dyDescent="0.45">
      <c r="B48" s="244"/>
      <c r="C48" s="244"/>
      <c r="D48" s="179"/>
      <c r="E48" s="4"/>
      <c r="F48" s="1"/>
      <c r="G48" s="1"/>
      <c r="H48" s="10"/>
      <c r="I48" s="10"/>
      <c r="J48" s="1"/>
      <c r="K48" s="90" t="str">
        <f>(E133)</f>
        <v>Pre Separation Brief</v>
      </c>
      <c r="L48" s="1"/>
      <c r="M48" s="1"/>
      <c r="N48" s="1"/>
      <c r="O48" s="10"/>
      <c r="P48" s="10"/>
      <c r="Q48" s="245" t="str">
        <f>(E134)</f>
        <v>Three-Day Transition Workshop</v>
      </c>
      <c r="R48" s="246"/>
      <c r="S48" s="247"/>
      <c r="T48" s="248" t="str">
        <f>(E137)</f>
        <v>Employment 2 Day Seminar</v>
      </c>
      <c r="U48" s="249"/>
      <c r="V48" s="10"/>
      <c r="W48" s="10"/>
      <c r="X48" s="7"/>
      <c r="Y48" s="7"/>
      <c r="Z48" s="1"/>
      <c r="AA48" s="1"/>
      <c r="AB48" s="1"/>
      <c r="AC48" s="10"/>
      <c r="AD48" s="10"/>
      <c r="AE48" s="1"/>
      <c r="AF48" s="90" t="str">
        <f>(E133)</f>
        <v>Pre Separation Brief</v>
      </c>
      <c r="AG48" s="1"/>
      <c r="AH48" s="259" t="str">
        <f>(E136)</f>
        <v>Career &amp; Credential Exploration 2 Day Seminar</v>
      </c>
      <c r="AI48" s="260"/>
      <c r="AL48" s="47"/>
      <c r="AM48" s="23"/>
      <c r="AN48" s="24"/>
      <c r="AP48" s="126"/>
    </row>
    <row r="49" spans="2:95" ht="30" thickBot="1" x14ac:dyDescent="0.45">
      <c r="B49" s="244"/>
      <c r="C49" s="244"/>
      <c r="D49" s="179"/>
      <c r="E49" s="6"/>
      <c r="F49" s="7"/>
      <c r="G49" s="22" t="s">
        <v>3</v>
      </c>
      <c r="H49" s="11"/>
      <c r="I49" s="11"/>
      <c r="J49" s="7"/>
      <c r="K49" s="7"/>
      <c r="L49" s="7"/>
      <c r="M49" s="7"/>
      <c r="N49" s="7"/>
      <c r="O49" s="11"/>
      <c r="P49" s="11"/>
      <c r="Q49" s="7"/>
      <c r="R49" s="7"/>
      <c r="S49" s="87" t="str">
        <f>(E140)</f>
        <v>VA Individual Appointments</v>
      </c>
      <c r="T49" s="76"/>
      <c r="U49" s="77"/>
      <c r="V49" s="11"/>
      <c r="W49" s="11"/>
      <c r="X49" s="7"/>
      <c r="Y49" s="7"/>
      <c r="Z49" s="7"/>
      <c r="AA49" s="7"/>
      <c r="AB49" s="7"/>
      <c r="AC49" s="11"/>
      <c r="AD49" s="11"/>
      <c r="AE49" s="161"/>
      <c r="AF49" s="7"/>
      <c r="AG49" s="7"/>
      <c r="AH49" s="7"/>
      <c r="AI49" s="7"/>
      <c r="AL49" s="47"/>
      <c r="AM49" s="23"/>
      <c r="AN49" s="29">
        <v>0</v>
      </c>
      <c r="AP49" s="126">
        <f>SUM(AP43-AN49)</f>
        <v>18</v>
      </c>
    </row>
    <row r="50" spans="2:95" ht="30" thickBot="1" x14ac:dyDescent="0.45">
      <c r="B50" s="244"/>
      <c r="C50" s="244"/>
      <c r="D50" s="179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7"/>
      <c r="AP50" s="126"/>
    </row>
    <row r="51" spans="2:95" ht="29.25" x14ac:dyDescent="0.4">
      <c r="B51" s="244"/>
      <c r="C51" s="244"/>
      <c r="D51" s="179"/>
      <c r="E51" s="194">
        <v>46235</v>
      </c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6"/>
      <c r="AK51" s="176" t="s">
        <v>54</v>
      </c>
      <c r="AL51" s="47">
        <f>SUM(AL45+2.5-AN49)</f>
        <v>74.5</v>
      </c>
      <c r="AM51" s="23"/>
      <c r="AN51" s="24"/>
      <c r="AP51" s="126"/>
    </row>
    <row r="52" spans="2:95" ht="30" thickBot="1" x14ac:dyDescent="0.45">
      <c r="B52" s="244"/>
      <c r="C52" s="244"/>
      <c r="D52" s="179"/>
      <c r="E52" s="12">
        <v>1</v>
      </c>
      <c r="F52" s="10">
        <v>2</v>
      </c>
      <c r="G52" s="1">
        <v>3</v>
      </c>
      <c r="H52" s="1">
        <v>4</v>
      </c>
      <c r="I52" s="1">
        <v>5</v>
      </c>
      <c r="J52" s="1">
        <v>6</v>
      </c>
      <c r="K52" s="1">
        <v>7</v>
      </c>
      <c r="L52" s="10">
        <v>8</v>
      </c>
      <c r="M52" s="10">
        <v>9</v>
      </c>
      <c r="N52" s="1">
        <v>10</v>
      </c>
      <c r="O52" s="1">
        <v>11</v>
      </c>
      <c r="P52" s="1">
        <v>12</v>
      </c>
      <c r="Q52" s="1">
        <v>13</v>
      </c>
      <c r="R52" s="1">
        <v>14</v>
      </c>
      <c r="S52" s="10">
        <v>15</v>
      </c>
      <c r="T52" s="10">
        <v>16</v>
      </c>
      <c r="U52" s="1">
        <v>17</v>
      </c>
      <c r="V52" s="1">
        <v>18</v>
      </c>
      <c r="W52" s="1">
        <v>19</v>
      </c>
      <c r="X52" s="1">
        <v>20</v>
      </c>
      <c r="Y52" s="1">
        <v>21</v>
      </c>
      <c r="Z52" s="10">
        <v>22</v>
      </c>
      <c r="AA52" s="10">
        <v>23</v>
      </c>
      <c r="AB52" s="1">
        <v>24</v>
      </c>
      <c r="AC52" s="1">
        <v>25</v>
      </c>
      <c r="AD52" s="1">
        <v>26</v>
      </c>
      <c r="AE52" s="1">
        <v>27</v>
      </c>
      <c r="AF52" s="1">
        <v>28</v>
      </c>
      <c r="AG52" s="10">
        <v>29</v>
      </c>
      <c r="AH52" s="10">
        <v>30</v>
      </c>
      <c r="AI52" s="5">
        <v>31</v>
      </c>
      <c r="AJ52" s="56"/>
      <c r="AK52" s="56"/>
      <c r="AL52" s="47"/>
      <c r="AM52" s="23"/>
      <c r="AN52" s="24"/>
      <c r="AP52" s="126"/>
    </row>
    <row r="53" spans="2:95" ht="30" thickBot="1" x14ac:dyDescent="0.45">
      <c r="B53" s="244"/>
      <c r="C53" s="244"/>
      <c r="D53" s="179"/>
      <c r="E53" s="74"/>
      <c r="F53" s="10"/>
      <c r="G53" s="307" t="s">
        <v>108</v>
      </c>
      <c r="H53" s="307"/>
      <c r="I53" s="307"/>
      <c r="J53" s="307"/>
      <c r="K53" s="307"/>
      <c r="L53" s="74"/>
      <c r="M53" s="10"/>
      <c r="N53" s="170" t="s">
        <v>148</v>
      </c>
      <c r="O53" s="90" t="str">
        <f>(E132)</f>
        <v>Initial Individual Counseling</v>
      </c>
      <c r="P53" s="170" t="s">
        <v>148</v>
      </c>
      <c r="Q53" s="253" t="str">
        <f>(E138)</f>
        <v>Education  2 Day Seminar</v>
      </c>
      <c r="R53" s="254"/>
      <c r="S53" s="74"/>
      <c r="T53" s="10"/>
      <c r="U53" s="255" t="str">
        <f>(E134)</f>
        <v>Three-Day Transition Workshop</v>
      </c>
      <c r="V53" s="256"/>
      <c r="W53" s="256"/>
      <c r="X53" s="257" t="str">
        <f>(E137)</f>
        <v>Employment 2 Day Seminar</v>
      </c>
      <c r="Y53" s="258"/>
      <c r="Z53" s="74"/>
      <c r="AA53" s="10"/>
      <c r="AB53" s="201" t="s">
        <v>141</v>
      </c>
      <c r="AC53" s="201"/>
      <c r="AD53" s="201"/>
      <c r="AE53" s="201"/>
      <c r="AF53" s="201"/>
      <c r="AG53" s="10"/>
      <c r="AH53" s="307" t="s">
        <v>174</v>
      </c>
      <c r="AI53" s="350"/>
      <c r="AJ53" s="176">
        <v>3</v>
      </c>
      <c r="AL53" s="47"/>
      <c r="AM53" s="23"/>
      <c r="AN53" s="24"/>
      <c r="AP53" s="126"/>
    </row>
    <row r="54" spans="2:95" ht="30" thickBot="1" x14ac:dyDescent="0.45">
      <c r="B54" s="244"/>
      <c r="C54" s="244"/>
      <c r="D54" s="179"/>
      <c r="E54" s="12"/>
      <c r="F54" s="10"/>
      <c r="G54" s="1"/>
      <c r="H54" s="90" t="str">
        <f>(E133)</f>
        <v>Pre Separation Brief</v>
      </c>
      <c r="I54" s="1"/>
      <c r="J54" s="1"/>
      <c r="K54" s="1"/>
      <c r="L54" s="10"/>
      <c r="M54" s="10"/>
      <c r="N54" s="1"/>
      <c r="O54" s="170" t="s">
        <v>148</v>
      </c>
      <c r="P54" s="1"/>
      <c r="Q54" s="1"/>
      <c r="R54" s="1"/>
      <c r="S54" s="10"/>
      <c r="T54" s="75"/>
      <c r="U54" s="1"/>
      <c r="V54" s="1"/>
      <c r="W54" s="1"/>
      <c r="X54" s="1"/>
      <c r="Y54" s="1"/>
      <c r="Z54" s="74"/>
      <c r="AA54" s="10"/>
      <c r="AB54" s="1"/>
      <c r="AC54" s="1"/>
      <c r="AD54" s="1"/>
      <c r="AE54" s="1"/>
      <c r="AF54" s="1"/>
      <c r="AG54" s="10"/>
      <c r="AH54" s="10"/>
      <c r="AI54" s="5"/>
      <c r="AL54" s="47"/>
      <c r="AM54" s="23"/>
      <c r="AN54" s="24"/>
      <c r="AP54" s="126"/>
    </row>
    <row r="55" spans="2:95" ht="30" thickBot="1" x14ac:dyDescent="0.45">
      <c r="B55" s="244"/>
      <c r="C55" s="244"/>
      <c r="D55" s="179"/>
      <c r="E55" s="13"/>
      <c r="F55" s="11"/>
      <c r="G55" s="7"/>
      <c r="H55" s="7"/>
      <c r="I55" s="7"/>
      <c r="J55" s="7"/>
      <c r="K55" s="7"/>
      <c r="L55" s="11"/>
      <c r="M55" s="301" t="s">
        <v>106</v>
      </c>
      <c r="N55" s="302"/>
      <c r="O55" s="302"/>
      <c r="P55" s="302"/>
      <c r="Q55" s="302"/>
      <c r="R55" s="302"/>
      <c r="S55" s="303"/>
      <c r="T55" s="11"/>
      <c r="U55" s="73"/>
      <c r="V55" s="73"/>
      <c r="W55" s="73"/>
      <c r="X55" s="73"/>
      <c r="Y55" s="73"/>
      <c r="Z55" s="11"/>
      <c r="AA55" s="11"/>
      <c r="AB55" s="7"/>
      <c r="AC55" s="7"/>
      <c r="AD55" s="7"/>
      <c r="AE55" s="7"/>
      <c r="AF55" s="7"/>
      <c r="AG55" s="11"/>
      <c r="AH55" s="11"/>
      <c r="AI55" s="8"/>
      <c r="AL55" s="47"/>
      <c r="AM55" s="23"/>
      <c r="AN55" s="29">
        <v>7</v>
      </c>
      <c r="AP55" s="126">
        <f>SUM(AP49-AN55)</f>
        <v>11</v>
      </c>
    </row>
    <row r="56" spans="2:95" ht="30" thickBot="1" x14ac:dyDescent="0.45">
      <c r="B56" s="244"/>
      <c r="C56" s="244"/>
      <c r="D56" s="179"/>
      <c r="AL56" s="47"/>
      <c r="AM56" s="23"/>
      <c r="AN56" s="24"/>
      <c r="AP56" s="126"/>
    </row>
    <row r="57" spans="2:95" ht="29.25" x14ac:dyDescent="0.4">
      <c r="B57" s="244"/>
      <c r="C57" s="244"/>
      <c r="D57" s="179"/>
      <c r="E57" s="194">
        <v>46266</v>
      </c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6"/>
      <c r="AK57" s="176" t="s">
        <v>55</v>
      </c>
      <c r="AL57" s="47">
        <f>SUM(AL51+2.5-AN55)</f>
        <v>70</v>
      </c>
      <c r="AM57" s="23"/>
      <c r="AN57" s="24"/>
      <c r="AP57" s="126"/>
    </row>
    <row r="58" spans="2:95" ht="29.25" x14ac:dyDescent="0.4">
      <c r="B58" s="244"/>
      <c r="C58" s="244"/>
      <c r="D58" s="179"/>
      <c r="E58" s="4">
        <v>1</v>
      </c>
      <c r="F58" s="1">
        <v>2</v>
      </c>
      <c r="G58" s="1">
        <v>3</v>
      </c>
      <c r="H58" s="1">
        <v>4</v>
      </c>
      <c r="I58" s="10">
        <v>5</v>
      </c>
      <c r="J58" s="10">
        <v>6</v>
      </c>
      <c r="K58" s="1">
        <v>7</v>
      </c>
      <c r="L58" s="1">
        <v>8</v>
      </c>
      <c r="M58" s="1">
        <v>9</v>
      </c>
      <c r="N58" s="1">
        <v>10</v>
      </c>
      <c r="O58" s="1">
        <v>11</v>
      </c>
      <c r="P58" s="10">
        <v>12</v>
      </c>
      <c r="Q58" s="10">
        <v>13</v>
      </c>
      <c r="R58" s="1">
        <v>14</v>
      </c>
      <c r="S58" s="1">
        <v>15</v>
      </c>
      <c r="T58" s="1">
        <v>16</v>
      </c>
      <c r="U58" s="1">
        <v>17</v>
      </c>
      <c r="V58" s="1">
        <v>18</v>
      </c>
      <c r="W58" s="10">
        <v>19</v>
      </c>
      <c r="X58" s="10">
        <v>20</v>
      </c>
      <c r="Y58" s="1">
        <v>21</v>
      </c>
      <c r="Z58" s="1">
        <v>22</v>
      </c>
      <c r="AA58" s="1">
        <v>23</v>
      </c>
      <c r="AB58" s="1">
        <v>24</v>
      </c>
      <c r="AC58" s="1">
        <v>25</v>
      </c>
      <c r="AD58" s="10">
        <v>26</v>
      </c>
      <c r="AE58" s="10">
        <v>27</v>
      </c>
      <c r="AF58" s="1">
        <v>28</v>
      </c>
      <c r="AG58" s="1">
        <v>29</v>
      </c>
      <c r="AH58" s="1">
        <v>30</v>
      </c>
      <c r="AI58" s="5"/>
      <c r="AL58" s="47"/>
      <c r="AM58" s="23"/>
      <c r="AN58" s="24"/>
      <c r="AP58" s="126"/>
    </row>
    <row r="59" spans="2:95" ht="29.25" x14ac:dyDescent="0.4">
      <c r="B59" s="244"/>
      <c r="C59" s="244"/>
      <c r="D59" s="179"/>
      <c r="E59" s="263" t="s">
        <v>175</v>
      </c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263"/>
      <c r="AH59" s="309"/>
      <c r="AI59" s="5"/>
      <c r="AJ59" s="176">
        <v>0</v>
      </c>
      <c r="AL59" s="47"/>
      <c r="AM59" s="23"/>
      <c r="AN59" s="24"/>
      <c r="AP59" s="126"/>
    </row>
    <row r="60" spans="2:95" ht="30" thickBot="1" x14ac:dyDescent="0.45">
      <c r="B60" s="244"/>
      <c r="C60" s="244"/>
      <c r="D60" s="179"/>
      <c r="E60" s="78"/>
      <c r="F60" s="78"/>
      <c r="G60" s="78"/>
      <c r="H60" s="78"/>
      <c r="I60" s="80"/>
      <c r="J60" s="80"/>
      <c r="K60" s="78"/>
      <c r="L60" s="95" t="str">
        <f>(E132)</f>
        <v>Initial Individual Counseling</v>
      </c>
      <c r="M60" s="96"/>
      <c r="N60" s="99"/>
      <c r="O60" s="99"/>
      <c r="P60" s="97"/>
      <c r="Q60" s="85"/>
      <c r="R60" s="288" t="str">
        <f>(E134)</f>
        <v>Three-Day Transition Workshop</v>
      </c>
      <c r="S60" s="289"/>
      <c r="T60" s="290"/>
      <c r="U60" s="304" t="str">
        <f>(E136)</f>
        <v>Career &amp; Credential Exploration 2 Day Seminar</v>
      </c>
      <c r="V60" s="305"/>
      <c r="W60" s="85"/>
      <c r="X60" s="85"/>
      <c r="Y60" s="84"/>
      <c r="Z60" s="84"/>
      <c r="AA60" s="84"/>
      <c r="AB60" s="84"/>
      <c r="AC60" s="84"/>
      <c r="AD60" s="82"/>
      <c r="AE60" s="82"/>
      <c r="AF60" s="84"/>
      <c r="AG60" s="95" t="str">
        <f>(E132)</f>
        <v>Initial Individual Counseling</v>
      </c>
      <c r="AH60" s="84"/>
      <c r="AI60" s="147"/>
      <c r="AL60" s="47"/>
      <c r="AM60" s="23"/>
      <c r="AN60" s="27"/>
      <c r="AP60" s="126"/>
    </row>
    <row r="61" spans="2:95" ht="30" thickBot="1" x14ac:dyDescent="0.45">
      <c r="B61" s="244"/>
      <c r="C61" s="244"/>
      <c r="D61" s="179"/>
      <c r="E61" s="72"/>
      <c r="F61" s="73"/>
      <c r="G61" s="73"/>
      <c r="H61" s="73"/>
      <c r="I61" s="79"/>
      <c r="J61" s="79"/>
      <c r="K61" s="142" t="s">
        <v>83</v>
      </c>
      <c r="L61" s="81"/>
      <c r="M61" s="81"/>
      <c r="N61" s="98"/>
      <c r="O61" s="98"/>
      <c r="P61" s="82"/>
      <c r="Q61" s="82"/>
      <c r="R61" s="81"/>
      <c r="S61" s="81"/>
      <c r="T61" s="88" t="str">
        <f>(E140)</f>
        <v>VA Individual Appointments</v>
      </c>
      <c r="U61" s="81"/>
      <c r="V61" s="81"/>
      <c r="W61" s="82"/>
      <c r="X61" s="82"/>
      <c r="Y61" s="81"/>
      <c r="Z61" s="81"/>
      <c r="AA61" s="81"/>
      <c r="AB61" s="81"/>
      <c r="AC61" s="81"/>
      <c r="AD61" s="82"/>
      <c r="AE61" s="82"/>
      <c r="AF61" s="81"/>
      <c r="AG61" s="81"/>
      <c r="AH61" s="81"/>
      <c r="AI61" s="83"/>
      <c r="AL61" s="47"/>
      <c r="AM61" s="26"/>
      <c r="AN61" s="29">
        <v>30</v>
      </c>
      <c r="AP61" s="126">
        <f>SUM(AP55-AN61)</f>
        <v>-19</v>
      </c>
    </row>
    <row r="62" spans="2:95" ht="15.75" thickBot="1" x14ac:dyDescent="0.25">
      <c r="B62" s="244"/>
      <c r="C62" s="244"/>
      <c r="D62" s="179"/>
      <c r="AL62" s="47"/>
      <c r="AM62" s="23"/>
      <c r="AN62" s="28"/>
    </row>
    <row r="63" spans="2:95" x14ac:dyDescent="0.2">
      <c r="B63" s="244"/>
      <c r="C63" s="244"/>
      <c r="D63" s="179"/>
      <c r="E63" s="194">
        <v>46296</v>
      </c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6"/>
      <c r="AK63" s="176" t="s">
        <v>56</v>
      </c>
      <c r="AL63" s="47">
        <f>SUM(AL57+2.5-AN61)</f>
        <v>42.5</v>
      </c>
      <c r="AM63" s="23"/>
      <c r="AN63" s="24"/>
    </row>
    <row r="64" spans="2:95" x14ac:dyDescent="0.2">
      <c r="B64" s="244"/>
      <c r="C64" s="244"/>
      <c r="D64" s="179"/>
      <c r="E64" s="4">
        <v>1</v>
      </c>
      <c r="F64" s="1">
        <v>2</v>
      </c>
      <c r="G64" s="10">
        <v>3</v>
      </c>
      <c r="H64" s="10">
        <v>4</v>
      </c>
      <c r="I64" s="1">
        <v>5</v>
      </c>
      <c r="J64" s="1">
        <v>6</v>
      </c>
      <c r="K64" s="1">
        <v>7</v>
      </c>
      <c r="L64" s="1">
        <v>8</v>
      </c>
      <c r="M64" s="1">
        <v>9</v>
      </c>
      <c r="N64" s="10">
        <v>10</v>
      </c>
      <c r="O64" s="10">
        <v>11</v>
      </c>
      <c r="P64" s="1">
        <v>12</v>
      </c>
      <c r="Q64" s="1">
        <v>13</v>
      </c>
      <c r="R64" s="1">
        <v>14</v>
      </c>
      <c r="S64" s="1">
        <v>15</v>
      </c>
      <c r="T64" s="1">
        <v>16</v>
      </c>
      <c r="U64" s="10">
        <v>17</v>
      </c>
      <c r="V64" s="10">
        <v>18</v>
      </c>
      <c r="W64" s="1">
        <v>19</v>
      </c>
      <c r="X64" s="1">
        <v>20</v>
      </c>
      <c r="Y64" s="1">
        <v>21</v>
      </c>
      <c r="Z64" s="1">
        <v>22</v>
      </c>
      <c r="AA64" s="1">
        <v>23</v>
      </c>
      <c r="AB64" s="10">
        <v>24</v>
      </c>
      <c r="AC64" s="10">
        <v>25</v>
      </c>
      <c r="AD64" s="1">
        <v>26</v>
      </c>
      <c r="AE64" s="1">
        <v>27</v>
      </c>
      <c r="AF64" s="1">
        <v>28</v>
      </c>
      <c r="AG64" s="1">
        <v>29</v>
      </c>
      <c r="AH64" s="1">
        <v>30</v>
      </c>
      <c r="AI64" s="14">
        <v>31</v>
      </c>
      <c r="AJ64" s="56"/>
      <c r="AK64" s="56"/>
      <c r="AL64" s="47"/>
      <c r="AM64" s="23"/>
      <c r="AN64" s="24"/>
      <c r="BM64" s="262" t="s">
        <v>0</v>
      </c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</row>
    <row r="65" spans="1:95" ht="21.75" thickBot="1" x14ac:dyDescent="0.35">
      <c r="B65" s="244"/>
      <c r="C65" s="244"/>
      <c r="D65" s="179"/>
      <c r="E65" s="349" t="s">
        <v>167</v>
      </c>
      <c r="F65" s="307"/>
      <c r="G65" s="307"/>
      <c r="H65" s="307"/>
      <c r="I65" s="307"/>
      <c r="J65" s="307"/>
      <c r="K65" s="307"/>
      <c r="L65" s="307"/>
      <c r="M65" s="350"/>
      <c r="N65" s="10"/>
      <c r="O65" s="10"/>
      <c r="P65" s="143" t="s">
        <v>84</v>
      </c>
      <c r="Q65" s="261" t="s">
        <v>143</v>
      </c>
      <c r="R65" s="201"/>
      <c r="S65" s="201"/>
      <c r="T65" s="202"/>
      <c r="U65" s="10"/>
      <c r="V65" s="10"/>
      <c r="W65" s="352" t="s">
        <v>168</v>
      </c>
      <c r="X65" s="263"/>
      <c r="Y65" s="263"/>
      <c r="Z65" s="263"/>
      <c r="AA65" s="263"/>
      <c r="AB65" s="263"/>
      <c r="AC65" s="263"/>
      <c r="AD65" s="263"/>
      <c r="AE65" s="263"/>
      <c r="AF65" s="263"/>
      <c r="AG65" s="263"/>
      <c r="AH65" s="263"/>
      <c r="AI65" s="369"/>
      <c r="AJ65" s="56">
        <v>9</v>
      </c>
      <c r="AK65" s="56"/>
      <c r="AL65" s="47"/>
      <c r="AM65" s="23"/>
      <c r="AN65" s="24"/>
      <c r="BM65">
        <v>1</v>
      </c>
      <c r="BN65">
        <v>2</v>
      </c>
      <c r="BO65">
        <v>3</v>
      </c>
      <c r="BP65">
        <v>4</v>
      </c>
      <c r="BQ65">
        <v>5</v>
      </c>
      <c r="BR65">
        <v>6</v>
      </c>
      <c r="BS65">
        <v>7</v>
      </c>
      <c r="BT65">
        <v>8</v>
      </c>
      <c r="BU65">
        <v>9</v>
      </c>
      <c r="BV65">
        <v>10</v>
      </c>
      <c r="BW65">
        <v>11</v>
      </c>
      <c r="BX65">
        <v>12</v>
      </c>
      <c r="BY65">
        <v>13</v>
      </c>
      <c r="BZ65">
        <v>14</v>
      </c>
      <c r="CA65">
        <v>15</v>
      </c>
      <c r="CB65">
        <v>16</v>
      </c>
      <c r="CC65">
        <v>17</v>
      </c>
      <c r="CD65">
        <v>18</v>
      </c>
      <c r="CE65">
        <v>19</v>
      </c>
      <c r="CF65">
        <v>20</v>
      </c>
      <c r="CG65">
        <v>21</v>
      </c>
      <c r="CH65">
        <v>22</v>
      </c>
      <c r="CI65">
        <v>23</v>
      </c>
      <c r="CJ65">
        <v>24</v>
      </c>
      <c r="CK65">
        <v>25</v>
      </c>
      <c r="CL65">
        <v>26</v>
      </c>
      <c r="CM65">
        <v>27</v>
      </c>
      <c r="CN65">
        <v>28</v>
      </c>
      <c r="CO65">
        <v>29</v>
      </c>
      <c r="CP65">
        <v>30</v>
      </c>
      <c r="CQ65">
        <v>31</v>
      </c>
    </row>
    <row r="66" spans="1:95" ht="15.75" thickBot="1" x14ac:dyDescent="0.25">
      <c r="B66" s="244"/>
      <c r="C66" s="244"/>
      <c r="D66" s="179"/>
      <c r="E66" s="4"/>
      <c r="F66" s="1"/>
      <c r="G66" s="10"/>
      <c r="H66" s="10"/>
      <c r="I66" s="250" t="str">
        <f>(E135)</f>
        <v>Entrepreneurship 2-Day Seminar</v>
      </c>
      <c r="J66" s="251"/>
      <c r="K66" s="1"/>
      <c r="L66" s="1"/>
      <c r="M66" s="1"/>
      <c r="N66" s="10"/>
      <c r="O66" s="10"/>
      <c r="P66" s="1"/>
      <c r="Q66" s="1"/>
      <c r="R66" s="1"/>
      <c r="S66" s="1"/>
      <c r="T66" s="1"/>
      <c r="U66" s="10"/>
      <c r="V66" s="10"/>
      <c r="W66" s="288" t="str">
        <f>(E134)</f>
        <v>Three-Day Transition Workshop</v>
      </c>
      <c r="X66" s="289"/>
      <c r="Y66" s="290"/>
      <c r="Z66" s="257" t="str">
        <f>(E137)</f>
        <v>Employment 2 Day Seminar</v>
      </c>
      <c r="AA66" s="258"/>
      <c r="AB66" s="10"/>
      <c r="AC66" s="10"/>
      <c r="AD66" s="1"/>
      <c r="AE66" s="1"/>
      <c r="AF66" s="1"/>
      <c r="AG66" s="94" t="str">
        <f>(E138)</f>
        <v>Education  2 Day Seminar</v>
      </c>
      <c r="AH66" s="1"/>
      <c r="AI66" s="14"/>
      <c r="AL66" s="47"/>
      <c r="AM66" s="23"/>
      <c r="AN66" s="27"/>
    </row>
    <row r="67" spans="1:95" ht="15.75" thickBot="1" x14ac:dyDescent="0.25">
      <c r="B67" s="244"/>
      <c r="C67" s="244"/>
      <c r="D67" s="179"/>
      <c r="E67" s="4"/>
      <c r="F67" s="1"/>
      <c r="G67" s="10"/>
      <c r="H67" s="10"/>
      <c r="I67" s="1"/>
      <c r="J67" s="1"/>
      <c r="K67" s="1"/>
      <c r="L67" s="1"/>
      <c r="M67" s="70" t="s">
        <v>29</v>
      </c>
      <c r="N67" s="10"/>
      <c r="O67" s="10"/>
      <c r="P67" s="143" t="s">
        <v>84</v>
      </c>
      <c r="Q67" s="1"/>
      <c r="R67" s="1"/>
      <c r="S67" s="1"/>
      <c r="T67" s="1"/>
      <c r="U67" s="10"/>
      <c r="V67" s="10"/>
      <c r="W67" s="1"/>
      <c r="X67" s="1"/>
      <c r="Y67" s="88" t="str">
        <f>(E140)</f>
        <v>VA Individual Appointments</v>
      </c>
      <c r="Z67" s="1"/>
      <c r="AA67" s="1" t="s">
        <v>110</v>
      </c>
      <c r="AB67" s="10"/>
      <c r="AC67" s="10"/>
      <c r="AD67" s="1"/>
      <c r="AE67" s="1"/>
      <c r="AF67" s="1"/>
      <c r="AG67" s="1"/>
      <c r="AH67" s="1"/>
      <c r="AI67" s="15"/>
      <c r="AL67" s="47"/>
      <c r="AM67" s="26"/>
      <c r="AN67" s="29">
        <v>22</v>
      </c>
    </row>
    <row r="68" spans="1:95" ht="15.75" thickBot="1" x14ac:dyDescent="0.25">
      <c r="B68" s="244"/>
      <c r="C68" s="244"/>
      <c r="D68" s="17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L68" s="47"/>
      <c r="AM68" s="23"/>
      <c r="AN68" s="28"/>
    </row>
    <row r="69" spans="1:95" ht="15.75" thickBot="1" x14ac:dyDescent="0.25">
      <c r="B69" s="244"/>
      <c r="C69" s="244"/>
      <c r="D69" s="179"/>
      <c r="E69" s="190">
        <v>46327</v>
      </c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2"/>
      <c r="AH69" s="192"/>
      <c r="AI69" s="193"/>
      <c r="AK69" s="176" t="s">
        <v>57</v>
      </c>
      <c r="AL69" s="47">
        <f>SUM(AL63+2.5-AN67)</f>
        <v>23</v>
      </c>
      <c r="AM69" s="23"/>
      <c r="AN69" s="24"/>
    </row>
    <row r="70" spans="1:95" x14ac:dyDescent="0.2">
      <c r="B70" s="244"/>
      <c r="C70" s="244"/>
      <c r="D70" s="179"/>
      <c r="E70" s="120">
        <v>1</v>
      </c>
      <c r="F70" s="57">
        <v>2</v>
      </c>
      <c r="G70" s="57">
        <v>3</v>
      </c>
      <c r="H70" s="57">
        <v>4</v>
      </c>
      <c r="I70" s="57">
        <v>5</v>
      </c>
      <c r="J70" s="57">
        <v>6</v>
      </c>
      <c r="K70" s="58">
        <v>7</v>
      </c>
      <c r="L70" s="58">
        <v>8</v>
      </c>
      <c r="M70" s="57">
        <v>9</v>
      </c>
      <c r="N70" s="57">
        <v>10</v>
      </c>
      <c r="O70" s="57">
        <v>11</v>
      </c>
      <c r="P70" s="57">
        <v>12</v>
      </c>
      <c r="Q70" s="57">
        <v>13</v>
      </c>
      <c r="R70" s="58">
        <v>14</v>
      </c>
      <c r="S70" s="58">
        <v>15</v>
      </c>
      <c r="T70" s="57">
        <v>16</v>
      </c>
      <c r="U70" s="57">
        <v>17</v>
      </c>
      <c r="V70" s="57">
        <v>18</v>
      </c>
      <c r="W70" s="57">
        <v>19</v>
      </c>
      <c r="X70" s="57">
        <v>20</v>
      </c>
      <c r="Y70" s="58">
        <v>21</v>
      </c>
      <c r="Z70" s="58">
        <v>22</v>
      </c>
      <c r="AA70" s="57">
        <v>23</v>
      </c>
      <c r="AB70" s="57">
        <v>24</v>
      </c>
      <c r="AC70" s="68">
        <v>25</v>
      </c>
      <c r="AD70" s="68">
        <v>26</v>
      </c>
      <c r="AE70" s="68">
        <v>27</v>
      </c>
      <c r="AF70" s="69">
        <v>28</v>
      </c>
      <c r="AG70" s="69">
        <v>29</v>
      </c>
      <c r="AH70" s="64">
        <v>30</v>
      </c>
      <c r="AI70" s="3"/>
      <c r="AJ70" s="56"/>
      <c r="AK70" s="56"/>
      <c r="AL70" s="47"/>
      <c r="AM70" s="23"/>
      <c r="AN70" s="24"/>
    </row>
    <row r="71" spans="1:95" ht="21.75" thickBot="1" x14ac:dyDescent="0.35">
      <c r="A71" s="67"/>
      <c r="B71" s="244"/>
      <c r="C71" s="244"/>
      <c r="D71" s="179"/>
      <c r="E71" s="349" t="s">
        <v>131</v>
      </c>
      <c r="F71" s="307"/>
      <c r="G71" s="307"/>
      <c r="H71" s="307"/>
      <c r="I71" s="307"/>
      <c r="J71" s="350"/>
      <c r="K71" s="60"/>
      <c r="L71" s="60"/>
      <c r="M71" s="169" t="s">
        <v>144</v>
      </c>
      <c r="N71" s="143" t="s">
        <v>111</v>
      </c>
      <c r="O71" s="143" t="s">
        <v>85</v>
      </c>
      <c r="P71" s="298" t="str">
        <f>(E136)</f>
        <v>Career &amp; Credential Exploration 2 Day Seminar</v>
      </c>
      <c r="Q71" s="299"/>
      <c r="R71" s="60"/>
      <c r="S71" s="60"/>
      <c r="T71" s="367" t="s">
        <v>149</v>
      </c>
      <c r="U71" s="353"/>
      <c r="V71" s="353"/>
      <c r="W71" s="353"/>
      <c r="X71" s="353"/>
      <c r="Y71" s="353"/>
      <c r="Z71" s="353"/>
      <c r="AA71" s="353"/>
      <c r="AB71" s="353"/>
      <c r="AC71" s="353"/>
      <c r="AD71" s="143" t="s">
        <v>2</v>
      </c>
      <c r="AE71" s="143"/>
      <c r="AF71" s="60"/>
      <c r="AG71" s="60"/>
      <c r="AH71" s="178" t="s">
        <v>134</v>
      </c>
      <c r="AI71" s="5"/>
      <c r="AJ71" s="176">
        <v>1</v>
      </c>
      <c r="AL71" s="47"/>
      <c r="AM71" s="23"/>
      <c r="AN71" s="24"/>
    </row>
    <row r="72" spans="1:95" ht="15.75" thickBot="1" x14ac:dyDescent="0.25">
      <c r="B72" s="244"/>
      <c r="C72" s="244"/>
      <c r="D72" s="179"/>
      <c r="E72" s="121"/>
      <c r="F72" s="59"/>
      <c r="G72" s="59"/>
      <c r="H72" s="59"/>
      <c r="I72" s="59"/>
      <c r="J72" s="59"/>
      <c r="K72" s="60"/>
      <c r="L72" s="60"/>
      <c r="M72" s="59"/>
      <c r="N72" s="59"/>
      <c r="O72" s="59"/>
      <c r="P72" s="7"/>
      <c r="Q72" s="7"/>
      <c r="R72" s="60"/>
      <c r="S72" s="60"/>
      <c r="T72" s="295" t="str">
        <f>(E134)</f>
        <v>Three-Day Transition Workshop</v>
      </c>
      <c r="U72" s="296"/>
      <c r="V72" s="297"/>
      <c r="W72" s="280" t="str">
        <f>(E137)</f>
        <v>Employment 2 Day Seminar</v>
      </c>
      <c r="X72" s="281"/>
      <c r="Y72" s="60"/>
      <c r="Z72" s="60"/>
      <c r="AA72" s="282" t="s">
        <v>80</v>
      </c>
      <c r="AB72" s="283"/>
      <c r="AC72" s="283"/>
      <c r="AD72" s="283"/>
      <c r="AE72" s="300"/>
      <c r="AF72" s="60"/>
      <c r="AG72" s="60"/>
      <c r="AH72" s="1"/>
      <c r="AI72" s="5"/>
      <c r="AL72" s="47"/>
      <c r="AM72" s="23"/>
      <c r="AN72" s="27"/>
    </row>
    <row r="73" spans="1:95" ht="15.75" thickBot="1" x14ac:dyDescent="0.25">
      <c r="B73" s="244"/>
      <c r="C73" s="244"/>
      <c r="D73" s="179"/>
      <c r="E73" s="13"/>
      <c r="F73" s="7"/>
      <c r="G73" s="92" t="str">
        <f>(E133)</f>
        <v>Pre Separation Brief</v>
      </c>
      <c r="H73" s="7"/>
      <c r="I73" s="7"/>
      <c r="J73" s="7"/>
      <c r="K73" s="11"/>
      <c r="L73" s="11"/>
      <c r="M73" s="7"/>
      <c r="N73" s="143" t="s">
        <v>111</v>
      </c>
      <c r="O73" s="143" t="s">
        <v>85</v>
      </c>
      <c r="P73" s="7"/>
      <c r="Q73" s="7"/>
      <c r="R73" s="11"/>
      <c r="S73" s="11"/>
      <c r="T73" s="7"/>
      <c r="U73" s="7"/>
      <c r="V73" s="89" t="str">
        <f>(E140)</f>
        <v>VA Individual Appointments</v>
      </c>
      <c r="W73" s="7"/>
      <c r="X73" s="7"/>
      <c r="Y73" s="11"/>
      <c r="Z73" s="11"/>
      <c r="AA73" s="7"/>
      <c r="AB73" s="139" t="str">
        <f>(E133)</f>
        <v>Pre Separation Brief</v>
      </c>
      <c r="AC73" s="7"/>
      <c r="AD73" s="143" t="s">
        <v>2</v>
      </c>
      <c r="AE73" s="143"/>
      <c r="AF73" s="11"/>
      <c r="AG73" s="11"/>
      <c r="AH73" s="7"/>
      <c r="AI73" s="8"/>
      <c r="AL73" s="47"/>
      <c r="AM73" s="26"/>
      <c r="AN73" s="29">
        <v>17</v>
      </c>
    </row>
    <row r="74" spans="1:95" ht="15.75" thickBot="1" x14ac:dyDescent="0.25">
      <c r="B74" s="244"/>
      <c r="C74" s="244"/>
      <c r="D74" s="17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L74" s="47"/>
      <c r="AM74" s="23"/>
      <c r="AN74" s="28"/>
    </row>
    <row r="75" spans="1:95" x14ac:dyDescent="0.2">
      <c r="B75" s="244"/>
      <c r="C75" s="244"/>
      <c r="D75" s="179"/>
      <c r="E75" s="217">
        <v>46357</v>
      </c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9"/>
      <c r="AH75" s="219"/>
      <c r="AI75" s="220"/>
      <c r="AK75" s="176" t="s">
        <v>58</v>
      </c>
      <c r="AL75" s="47">
        <f>SUM(AL69+2.5-AN73)</f>
        <v>8.5</v>
      </c>
      <c r="AM75" s="23"/>
      <c r="AN75" s="24"/>
    </row>
    <row r="76" spans="1:95" x14ac:dyDescent="0.2">
      <c r="B76" s="244"/>
      <c r="C76" s="244"/>
      <c r="D76" s="179"/>
      <c r="E76" s="4">
        <v>1</v>
      </c>
      <c r="F76" s="1">
        <v>2</v>
      </c>
      <c r="G76" s="1">
        <v>3</v>
      </c>
      <c r="H76" s="1">
        <v>4</v>
      </c>
      <c r="I76" s="10">
        <v>5</v>
      </c>
      <c r="J76" s="10">
        <v>6</v>
      </c>
      <c r="K76" s="1">
        <v>7</v>
      </c>
      <c r="L76" s="1">
        <v>8</v>
      </c>
      <c r="M76" s="1">
        <v>9</v>
      </c>
      <c r="N76" s="1">
        <v>10</v>
      </c>
      <c r="O76" s="1">
        <v>11</v>
      </c>
      <c r="P76" s="10">
        <v>12</v>
      </c>
      <c r="Q76" s="10">
        <v>13</v>
      </c>
      <c r="R76" s="1">
        <v>14</v>
      </c>
      <c r="S76" s="1">
        <v>15</v>
      </c>
      <c r="T76" s="1">
        <v>16</v>
      </c>
      <c r="U76" s="1">
        <v>17</v>
      </c>
      <c r="V76" s="1">
        <v>18</v>
      </c>
      <c r="W76" s="10">
        <v>19</v>
      </c>
      <c r="X76" s="10">
        <v>20</v>
      </c>
      <c r="Y76" s="1">
        <v>21</v>
      </c>
      <c r="Z76" s="1">
        <v>22</v>
      </c>
      <c r="AA76" s="1">
        <v>23</v>
      </c>
      <c r="AB76" s="1">
        <v>24</v>
      </c>
      <c r="AC76" s="1">
        <v>25</v>
      </c>
      <c r="AD76" s="10">
        <v>26</v>
      </c>
      <c r="AE76" s="10">
        <v>27</v>
      </c>
      <c r="AF76" s="1">
        <v>28</v>
      </c>
      <c r="AG76" s="1">
        <v>29</v>
      </c>
      <c r="AH76" s="1">
        <v>30</v>
      </c>
      <c r="AI76" s="1">
        <v>31</v>
      </c>
      <c r="AL76" s="47"/>
      <c r="AM76" s="23"/>
      <c r="AN76" s="24"/>
    </row>
    <row r="77" spans="1:95" ht="21.75" thickBot="1" x14ac:dyDescent="0.35">
      <c r="B77" s="244"/>
      <c r="C77" s="244"/>
      <c r="D77" s="179"/>
      <c r="E77" s="261" t="s">
        <v>143</v>
      </c>
      <c r="F77" s="201"/>
      <c r="G77" s="201"/>
      <c r="H77" s="201"/>
      <c r="I77" s="10"/>
      <c r="J77" s="10"/>
      <c r="K77" s="264" t="s">
        <v>141</v>
      </c>
      <c r="L77" s="265"/>
      <c r="M77" s="265"/>
      <c r="N77" s="265"/>
      <c r="O77" s="266"/>
      <c r="P77" s="177"/>
      <c r="Q77" s="177"/>
      <c r="R77" s="261" t="s">
        <v>141</v>
      </c>
      <c r="S77" s="201"/>
      <c r="T77" s="201"/>
      <c r="U77" s="201"/>
      <c r="V77" s="202"/>
      <c r="W77" s="11"/>
      <c r="X77" s="11"/>
      <c r="Y77" s="265" t="s">
        <v>140</v>
      </c>
      <c r="Z77" s="265"/>
      <c r="AA77" s="266"/>
      <c r="AB77" s="143" t="s">
        <v>3</v>
      </c>
      <c r="AC77" s="143" t="s">
        <v>3</v>
      </c>
      <c r="AD77" s="11"/>
      <c r="AE77" s="11"/>
      <c r="AF77" s="201" t="s">
        <v>140</v>
      </c>
      <c r="AG77" s="201"/>
      <c r="AH77" s="202"/>
      <c r="AI77" s="22" t="s">
        <v>3</v>
      </c>
      <c r="AJ77" s="176">
        <v>16</v>
      </c>
      <c r="AL77" s="47"/>
      <c r="AM77" s="23"/>
      <c r="AN77" s="24"/>
    </row>
    <row r="78" spans="1:95" ht="15.75" thickBot="1" x14ac:dyDescent="0.25">
      <c r="B78" s="244"/>
      <c r="C78" s="244"/>
      <c r="D78" s="179"/>
      <c r="E78" s="91" t="str">
        <f>(E133)</f>
        <v>Pre Separation Brief</v>
      </c>
      <c r="F78" s="1"/>
      <c r="G78" s="1"/>
      <c r="H78" s="1"/>
      <c r="I78" s="10"/>
      <c r="J78" s="10"/>
      <c r="K78" s="288" t="str">
        <f>(E134)</f>
        <v>Three-Day Transition Workshop</v>
      </c>
      <c r="L78" s="289"/>
      <c r="M78" s="290"/>
      <c r="N78" s="257" t="str">
        <f>(E137)</f>
        <v>Employment 2 Day Seminar</v>
      </c>
      <c r="O78" s="258"/>
      <c r="P78" s="10"/>
      <c r="Q78" s="10"/>
      <c r="R78" s="1"/>
      <c r="S78" s="90" t="str">
        <f>(E133)</f>
        <v>Pre Separation Brief</v>
      </c>
      <c r="T78" s="1"/>
      <c r="U78" s="1"/>
      <c r="V78" s="1"/>
      <c r="W78" s="11"/>
      <c r="X78" s="11"/>
      <c r="Y78" s="282" t="s">
        <v>80</v>
      </c>
      <c r="Z78" s="283"/>
      <c r="AA78" s="283"/>
      <c r="AB78" s="283"/>
      <c r="AC78" s="283"/>
      <c r="AD78" s="283"/>
      <c r="AE78" s="283"/>
      <c r="AF78" s="323"/>
      <c r="AG78" s="323"/>
      <c r="AH78" s="323"/>
      <c r="AI78" s="324"/>
      <c r="AL78" s="47"/>
      <c r="AM78" s="23"/>
      <c r="AN78" s="27"/>
    </row>
    <row r="79" spans="1:95" ht="15.75" thickBot="1" x14ac:dyDescent="0.25">
      <c r="B79" s="244"/>
      <c r="C79" s="244"/>
      <c r="D79" s="179"/>
      <c r="E79" s="6"/>
      <c r="F79" s="122" t="s">
        <v>18</v>
      </c>
      <c r="G79" s="7"/>
      <c r="H79" s="7"/>
      <c r="I79" s="11"/>
      <c r="J79" s="11"/>
      <c r="K79" s="7"/>
      <c r="L79" s="7"/>
      <c r="M79" s="89" t="str">
        <f>(E140)</f>
        <v>VA Individual Appointments</v>
      </c>
      <c r="N79" s="7"/>
      <c r="O79" s="7"/>
      <c r="P79" s="11"/>
      <c r="Q79" s="11"/>
      <c r="R79" s="7"/>
      <c r="S79" s="7"/>
      <c r="T79" s="7"/>
      <c r="U79" s="7"/>
      <c r="V79" s="7"/>
      <c r="W79" s="11"/>
      <c r="X79" s="11"/>
      <c r="Y79" s="7"/>
      <c r="Z79" s="7"/>
      <c r="AA79" s="7"/>
      <c r="AB79" s="143" t="s">
        <v>3</v>
      </c>
      <c r="AC79" s="143" t="s">
        <v>3</v>
      </c>
      <c r="AD79" s="11"/>
      <c r="AE79" s="11"/>
      <c r="AF79" s="7"/>
      <c r="AG79" s="7"/>
      <c r="AH79" s="7"/>
      <c r="AI79" s="22" t="s">
        <v>3</v>
      </c>
      <c r="AL79" s="47"/>
      <c r="AM79" s="26"/>
      <c r="AN79" s="29">
        <v>0</v>
      </c>
    </row>
    <row r="80" spans="1:95" ht="15.75" thickBot="1" x14ac:dyDescent="0.25">
      <c r="B80" s="244"/>
      <c r="C80" s="244"/>
      <c r="D80" s="17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L80" s="47"/>
      <c r="AM80" s="23"/>
      <c r="AN80" s="28"/>
    </row>
    <row r="81" spans="2:40" x14ac:dyDescent="0.2">
      <c r="B81" s="244"/>
      <c r="C81" s="244"/>
      <c r="D81" s="244">
        <v>1</v>
      </c>
      <c r="E81" s="194">
        <v>46388</v>
      </c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6"/>
      <c r="AK81" s="176" t="s">
        <v>59</v>
      </c>
      <c r="AL81" s="47">
        <f>SUM(AL75+2.5-AN79)</f>
        <v>11</v>
      </c>
      <c r="AM81" s="23"/>
      <c r="AN81" s="24"/>
    </row>
    <row r="82" spans="2:40" x14ac:dyDescent="0.2">
      <c r="B82" s="244"/>
      <c r="C82" s="244"/>
      <c r="D82" s="244"/>
      <c r="E82" s="4">
        <v>1</v>
      </c>
      <c r="F82" s="10">
        <v>2</v>
      </c>
      <c r="G82" s="10">
        <v>3</v>
      </c>
      <c r="H82" s="1">
        <v>4</v>
      </c>
      <c r="I82" s="1">
        <v>5</v>
      </c>
      <c r="J82" s="1">
        <v>6</v>
      </c>
      <c r="K82" s="1">
        <v>7</v>
      </c>
      <c r="L82" s="1">
        <v>8</v>
      </c>
      <c r="M82" s="10">
        <v>9</v>
      </c>
      <c r="N82" s="10">
        <v>10</v>
      </c>
      <c r="O82" s="1">
        <v>11</v>
      </c>
      <c r="P82" s="1">
        <v>12</v>
      </c>
      <c r="Q82" s="1">
        <v>13</v>
      </c>
      <c r="R82" s="1">
        <v>14</v>
      </c>
      <c r="S82" s="1">
        <v>15</v>
      </c>
      <c r="T82" s="10">
        <v>16</v>
      </c>
      <c r="U82" s="10">
        <v>17</v>
      </c>
      <c r="V82" s="1">
        <v>18</v>
      </c>
      <c r="W82" s="1">
        <v>19</v>
      </c>
      <c r="X82" s="1">
        <v>20</v>
      </c>
      <c r="Y82" s="1">
        <v>21</v>
      </c>
      <c r="Z82" s="1">
        <v>22</v>
      </c>
      <c r="AA82" s="10">
        <v>23</v>
      </c>
      <c r="AB82" s="10">
        <v>24</v>
      </c>
      <c r="AC82" s="1">
        <v>25</v>
      </c>
      <c r="AD82" s="1">
        <v>26</v>
      </c>
      <c r="AE82" s="1">
        <v>27</v>
      </c>
      <c r="AF82" s="1">
        <v>28</v>
      </c>
      <c r="AG82" s="1">
        <v>29</v>
      </c>
      <c r="AH82" s="10">
        <v>30</v>
      </c>
      <c r="AI82" s="40">
        <v>31</v>
      </c>
      <c r="AL82" s="47"/>
      <c r="AM82" s="23"/>
      <c r="AN82" s="24"/>
    </row>
    <row r="83" spans="2:40" ht="21" x14ac:dyDescent="0.3">
      <c r="B83" s="244"/>
      <c r="C83" s="244"/>
      <c r="D83" s="244"/>
      <c r="E83" s="21" t="s">
        <v>2</v>
      </c>
      <c r="F83" s="207" t="s">
        <v>116</v>
      </c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8"/>
      <c r="AJ83" s="176">
        <v>0</v>
      </c>
      <c r="AL83" s="47"/>
      <c r="AM83" s="23"/>
      <c r="AN83" s="24"/>
    </row>
    <row r="84" spans="2:40" ht="15.75" thickBot="1" x14ac:dyDescent="0.25">
      <c r="B84" s="244"/>
      <c r="C84" s="244"/>
      <c r="D84" s="244"/>
      <c r="E84" s="100"/>
      <c r="F84" s="10"/>
      <c r="G84" s="10"/>
      <c r="H84" s="1"/>
      <c r="I84" s="1"/>
      <c r="J84" s="1"/>
      <c r="K84" s="1"/>
      <c r="L84" s="1"/>
      <c r="M84" s="10"/>
      <c r="N84" s="10"/>
      <c r="O84" s="1"/>
      <c r="P84" s="1"/>
      <c r="Q84" s="1"/>
      <c r="R84" s="1"/>
      <c r="S84" s="1"/>
      <c r="T84" s="10"/>
      <c r="U84" s="10"/>
      <c r="V84" s="1"/>
      <c r="W84" s="1"/>
      <c r="X84" s="1"/>
      <c r="Y84" s="1"/>
      <c r="Z84" s="1"/>
      <c r="AA84" s="10"/>
      <c r="AB84" s="10"/>
      <c r="AC84" s="1"/>
      <c r="AD84" s="1"/>
      <c r="AE84" s="1"/>
      <c r="AF84" s="1"/>
      <c r="AG84" s="1"/>
      <c r="AH84" s="10"/>
      <c r="AI84" s="40"/>
      <c r="AL84" s="47"/>
      <c r="AM84" s="23"/>
      <c r="AN84" s="27"/>
    </row>
    <row r="85" spans="2:40" ht="25.5" thickBot="1" x14ac:dyDescent="0.4">
      <c r="B85" s="244"/>
      <c r="C85" s="244"/>
      <c r="D85" s="244"/>
      <c r="E85" s="21" t="s">
        <v>2</v>
      </c>
      <c r="F85" s="10"/>
      <c r="G85" s="10"/>
      <c r="H85" s="1"/>
      <c r="I85" s="1"/>
      <c r="J85" s="1"/>
      <c r="K85" s="1"/>
      <c r="L85" s="1"/>
      <c r="M85" s="10"/>
      <c r="N85" s="10"/>
      <c r="O85" s="1"/>
      <c r="P85" s="1"/>
      <c r="Q85" s="1"/>
      <c r="R85" s="1"/>
      <c r="S85" s="1"/>
      <c r="T85" s="10"/>
      <c r="U85" s="10"/>
      <c r="V85" s="141" t="s">
        <v>81</v>
      </c>
      <c r="W85" s="1"/>
      <c r="X85" s="1"/>
      <c r="Y85" s="1"/>
      <c r="Z85" s="1"/>
      <c r="AA85" s="10"/>
      <c r="AB85" s="10"/>
      <c r="AC85" s="1"/>
      <c r="AD85" s="1"/>
      <c r="AE85" s="1"/>
      <c r="AF85" s="1"/>
      <c r="AG85" s="1"/>
      <c r="AH85" s="10"/>
      <c r="AI85" s="40"/>
      <c r="AJ85" s="140"/>
      <c r="AL85" s="47"/>
      <c r="AM85" s="26"/>
      <c r="AN85" s="29">
        <v>0</v>
      </c>
    </row>
    <row r="86" spans="2:40" ht="15.75" thickBot="1" x14ac:dyDescent="0.25">
      <c r="B86" s="244"/>
      <c r="C86" s="244"/>
      <c r="D86" s="179"/>
      <c r="AL86" s="47"/>
      <c r="AM86" s="23"/>
      <c r="AN86" s="28"/>
    </row>
    <row r="87" spans="2:40" x14ac:dyDescent="0.2">
      <c r="B87" s="244"/>
      <c r="C87" s="244"/>
      <c r="D87" s="244">
        <v>2</v>
      </c>
      <c r="E87" s="194">
        <v>46419</v>
      </c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6"/>
      <c r="AJ87" s="176" t="s">
        <v>86</v>
      </c>
      <c r="AK87" s="176" t="s">
        <v>60</v>
      </c>
      <c r="AL87" s="47">
        <f>SUM(AL81+2.5-AN85)</f>
        <v>13.5</v>
      </c>
      <c r="AM87" s="23"/>
      <c r="AN87" s="24"/>
    </row>
    <row r="88" spans="2:40" ht="24.75" x14ac:dyDescent="0.35">
      <c r="B88" s="244"/>
      <c r="C88" s="244"/>
      <c r="D88" s="244"/>
      <c r="E88" s="4">
        <v>1</v>
      </c>
      <c r="F88" s="1">
        <v>2</v>
      </c>
      <c r="G88" s="1">
        <v>3</v>
      </c>
      <c r="H88" s="1">
        <v>4</v>
      </c>
      <c r="I88" s="1">
        <v>5</v>
      </c>
      <c r="J88" s="38">
        <v>6</v>
      </c>
      <c r="K88" s="38">
        <v>7</v>
      </c>
      <c r="L88" s="1">
        <v>8</v>
      </c>
      <c r="M88" s="1">
        <v>9</v>
      </c>
      <c r="N88" s="1">
        <v>10</v>
      </c>
      <c r="O88" s="1">
        <v>11</v>
      </c>
      <c r="P88" s="1">
        <v>12</v>
      </c>
      <c r="Q88" s="38">
        <v>13</v>
      </c>
      <c r="R88" s="38">
        <v>14</v>
      </c>
      <c r="S88" s="1">
        <v>15</v>
      </c>
      <c r="T88" s="1">
        <v>16</v>
      </c>
      <c r="U88" s="1">
        <v>17</v>
      </c>
      <c r="V88" s="1">
        <v>18</v>
      </c>
      <c r="W88" s="1">
        <v>19</v>
      </c>
      <c r="X88" s="38">
        <v>20</v>
      </c>
      <c r="Y88" s="38">
        <v>21</v>
      </c>
      <c r="Z88" s="1">
        <v>22</v>
      </c>
      <c r="AA88" s="1">
        <v>23</v>
      </c>
      <c r="AB88" s="62">
        <v>24</v>
      </c>
      <c r="AC88" s="62">
        <v>25</v>
      </c>
      <c r="AD88" s="62">
        <v>26</v>
      </c>
      <c r="AE88" s="103">
        <v>27</v>
      </c>
      <c r="AF88" s="103">
        <v>28</v>
      </c>
      <c r="AG88" s="1"/>
      <c r="AH88" s="1"/>
      <c r="AI88" s="5"/>
      <c r="AJ88" s="140">
        <f>SUM(AJ56:AJ87)</f>
        <v>26</v>
      </c>
      <c r="AL88" s="47"/>
      <c r="AM88" s="23"/>
      <c r="AN88" s="24"/>
    </row>
    <row r="89" spans="2:40" ht="21" x14ac:dyDescent="0.3">
      <c r="B89" s="244"/>
      <c r="C89" s="244"/>
      <c r="D89" s="244"/>
      <c r="E89" s="343" t="s">
        <v>115</v>
      </c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4"/>
      <c r="AG89" s="102"/>
      <c r="AH89" s="1"/>
      <c r="AI89" s="5"/>
      <c r="AL89" s="47"/>
      <c r="AM89" s="23"/>
      <c r="AN89" s="24"/>
    </row>
    <row r="90" spans="2:40" ht="15.75" thickBot="1" x14ac:dyDescent="0.25">
      <c r="B90" s="244"/>
      <c r="C90" s="244"/>
      <c r="D90" s="244"/>
      <c r="E90" s="4"/>
      <c r="F90" s="1"/>
      <c r="G90" s="1"/>
      <c r="H90" s="1"/>
      <c r="I90" s="1"/>
      <c r="J90" s="38"/>
      <c r="K90" s="38"/>
      <c r="L90" s="1"/>
      <c r="M90" s="1"/>
      <c r="N90" s="1"/>
      <c r="O90" s="1"/>
      <c r="P90" s="1"/>
      <c r="Q90" s="38"/>
      <c r="R90" s="38"/>
      <c r="S90" s="1"/>
      <c r="T90" s="1"/>
      <c r="U90" s="1"/>
      <c r="V90" s="1"/>
      <c r="W90" s="1"/>
      <c r="X90" s="38"/>
      <c r="Y90" s="38"/>
      <c r="Z90" s="1"/>
      <c r="AA90" s="1"/>
      <c r="AB90" s="59"/>
      <c r="AC90" s="59"/>
      <c r="AD90" s="59"/>
      <c r="AE90" s="104"/>
      <c r="AF90" s="104"/>
      <c r="AG90" s="1"/>
      <c r="AH90" s="1"/>
      <c r="AI90" s="5"/>
      <c r="AL90" s="47"/>
      <c r="AM90" s="23"/>
      <c r="AN90" s="27"/>
    </row>
    <row r="91" spans="2:40" ht="15.75" thickBot="1" x14ac:dyDescent="0.25">
      <c r="B91" s="244"/>
      <c r="C91" s="244"/>
      <c r="D91" s="244"/>
      <c r="E91" s="4"/>
      <c r="F91" s="1"/>
      <c r="G91" s="1"/>
      <c r="H91" s="1"/>
      <c r="I91" s="1"/>
      <c r="J91" s="38"/>
      <c r="K91" s="38"/>
      <c r="L91" s="22" t="s">
        <v>9</v>
      </c>
      <c r="M91" s="1"/>
      <c r="N91" s="1"/>
      <c r="O91" s="1"/>
      <c r="P91" s="1"/>
      <c r="Q91" s="38"/>
      <c r="R91" s="38"/>
      <c r="S91" s="141" t="s">
        <v>82</v>
      </c>
      <c r="T91" s="1"/>
      <c r="U91" s="1"/>
      <c r="V91" s="1"/>
      <c r="W91" s="1"/>
      <c r="X91" s="38"/>
      <c r="Y91" s="38"/>
      <c r="Z91" s="1"/>
      <c r="AA91" s="1"/>
      <c r="AB91" s="1"/>
      <c r="AC91" s="1"/>
      <c r="AD91" s="1"/>
      <c r="AE91" s="38"/>
      <c r="AF91" s="38"/>
      <c r="AG91" s="1"/>
      <c r="AH91" s="1"/>
      <c r="AI91" s="5"/>
      <c r="AL91" s="47"/>
      <c r="AM91" s="26"/>
      <c r="AN91" s="29">
        <v>0</v>
      </c>
    </row>
    <row r="92" spans="2:40" ht="15.75" thickBot="1" x14ac:dyDescent="0.25">
      <c r="B92" s="244"/>
      <c r="C92" s="244"/>
      <c r="D92" s="17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L92" s="47"/>
      <c r="AM92" s="23"/>
      <c r="AN92" s="28"/>
    </row>
    <row r="93" spans="2:40" x14ac:dyDescent="0.2">
      <c r="B93" s="244"/>
      <c r="C93" s="244"/>
      <c r="D93" s="244">
        <v>3</v>
      </c>
      <c r="E93" s="194">
        <v>46447</v>
      </c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6"/>
      <c r="AJ93" s="176" t="s">
        <v>87</v>
      </c>
      <c r="AK93" s="176" t="s">
        <v>61</v>
      </c>
      <c r="AL93" s="47">
        <f>SUM(AL87+2.5-AN91)</f>
        <v>16</v>
      </c>
      <c r="AM93" s="23"/>
      <c r="AN93" s="24"/>
    </row>
    <row r="94" spans="2:40" ht="31.5" x14ac:dyDescent="0.45">
      <c r="B94" s="244"/>
      <c r="C94" s="244"/>
      <c r="D94" s="244"/>
      <c r="E94" s="4">
        <v>1</v>
      </c>
      <c r="F94" s="1">
        <v>2</v>
      </c>
      <c r="G94" s="1">
        <v>3</v>
      </c>
      <c r="H94" s="1">
        <v>4</v>
      </c>
      <c r="I94" s="1">
        <v>5</v>
      </c>
      <c r="J94" s="10">
        <v>6</v>
      </c>
      <c r="K94" s="10">
        <v>7</v>
      </c>
      <c r="L94" s="1">
        <v>8</v>
      </c>
      <c r="M94" s="1">
        <v>9</v>
      </c>
      <c r="N94" s="1">
        <v>10</v>
      </c>
      <c r="O94" s="1">
        <v>11</v>
      </c>
      <c r="P94" s="1">
        <v>12</v>
      </c>
      <c r="Q94" s="10">
        <v>13</v>
      </c>
      <c r="R94" s="10">
        <v>14</v>
      </c>
      <c r="S94" s="1">
        <v>15</v>
      </c>
      <c r="T94" s="1">
        <v>16</v>
      </c>
      <c r="U94" s="1">
        <v>17</v>
      </c>
      <c r="V94" s="1">
        <v>18</v>
      </c>
      <c r="W94" s="1">
        <v>19</v>
      </c>
      <c r="X94" s="10">
        <v>20</v>
      </c>
      <c r="Y94" s="10">
        <v>21</v>
      </c>
      <c r="Z94" s="1">
        <v>22</v>
      </c>
      <c r="AA94" s="1">
        <v>23</v>
      </c>
      <c r="AB94" s="1">
        <v>24</v>
      </c>
      <c r="AC94" s="1">
        <v>25</v>
      </c>
      <c r="AD94" s="1">
        <v>26</v>
      </c>
      <c r="AE94" s="10">
        <v>27</v>
      </c>
      <c r="AF94" s="10">
        <v>28</v>
      </c>
      <c r="AG94" s="1">
        <v>29</v>
      </c>
      <c r="AH94" s="1">
        <v>30</v>
      </c>
      <c r="AI94" s="5">
        <v>31</v>
      </c>
      <c r="AJ94" s="160">
        <f>(AL117)</f>
        <v>6.5</v>
      </c>
      <c r="AL94" s="47"/>
      <c r="AM94" s="23"/>
      <c r="AN94" s="24"/>
    </row>
    <row r="95" spans="2:40" ht="21.75" thickBot="1" x14ac:dyDescent="0.35">
      <c r="B95" s="244"/>
      <c r="C95" s="244"/>
      <c r="D95" s="244"/>
      <c r="E95" s="321" t="s">
        <v>114</v>
      </c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  <c r="AA95" s="325"/>
      <c r="AB95" s="325"/>
      <c r="AC95" s="325"/>
      <c r="AD95" s="325"/>
      <c r="AE95" s="325"/>
      <c r="AF95" s="325"/>
      <c r="AG95" s="325"/>
      <c r="AH95" s="325"/>
      <c r="AI95" s="326"/>
      <c r="AL95" s="47"/>
      <c r="AM95" s="23"/>
      <c r="AN95" s="24"/>
    </row>
    <row r="96" spans="2:40" ht="15.75" thickBot="1" x14ac:dyDescent="0.25">
      <c r="B96" s="244"/>
      <c r="C96" s="244"/>
      <c r="D96" s="244"/>
      <c r="E96" s="4"/>
      <c r="F96" s="1"/>
      <c r="G96" s="1"/>
      <c r="H96" s="1"/>
      <c r="I96" s="1"/>
      <c r="J96" s="10"/>
      <c r="K96" s="10"/>
      <c r="L96" s="1"/>
      <c r="M96" s="1"/>
      <c r="N96" s="1"/>
      <c r="O96" s="1"/>
      <c r="P96" s="1"/>
      <c r="Q96" s="10"/>
      <c r="R96" s="10"/>
      <c r="S96" s="1"/>
      <c r="T96" s="1"/>
      <c r="U96" s="1"/>
      <c r="V96" s="1"/>
      <c r="W96" s="1"/>
      <c r="X96" s="10"/>
      <c r="Y96" s="10"/>
      <c r="Z96" s="1"/>
      <c r="AA96" s="1"/>
      <c r="AB96" s="1"/>
      <c r="AC96" s="1"/>
      <c r="AD96" s="1"/>
      <c r="AE96" s="10"/>
      <c r="AF96" s="10"/>
      <c r="AG96" s="1"/>
      <c r="AH96" s="1"/>
      <c r="AI96" s="5"/>
      <c r="AL96" s="47"/>
      <c r="AM96" s="23"/>
      <c r="AN96" s="27"/>
    </row>
    <row r="97" spans="2:40" ht="15.75" thickBot="1" x14ac:dyDescent="0.25">
      <c r="B97" s="244"/>
      <c r="C97" s="244"/>
      <c r="D97" s="244"/>
      <c r="E97" s="4"/>
      <c r="F97" s="1"/>
      <c r="G97" s="1"/>
      <c r="H97" s="1"/>
      <c r="I97" s="1"/>
      <c r="J97" s="10"/>
      <c r="K97" s="10"/>
      <c r="L97" s="1"/>
      <c r="M97" s="1"/>
      <c r="N97" s="1"/>
      <c r="O97" s="1"/>
      <c r="P97" s="1"/>
      <c r="Q97" s="10"/>
      <c r="R97" s="10"/>
      <c r="S97" s="1"/>
      <c r="T97" s="1"/>
      <c r="U97" s="1"/>
      <c r="V97" s="1"/>
      <c r="W97" s="1"/>
      <c r="X97" s="10"/>
      <c r="Y97" s="10"/>
      <c r="Z97" s="1"/>
      <c r="AA97" s="1"/>
      <c r="AB97" s="1"/>
      <c r="AC97" s="1"/>
      <c r="AD97" s="1"/>
      <c r="AE97" s="10"/>
      <c r="AF97" s="10"/>
      <c r="AG97" s="1"/>
      <c r="AH97" s="1"/>
      <c r="AI97" s="5"/>
      <c r="AL97" s="47"/>
      <c r="AM97" s="26"/>
      <c r="AN97" s="29">
        <v>0</v>
      </c>
    </row>
    <row r="98" spans="2:40" ht="15.75" thickBot="1" x14ac:dyDescent="0.25">
      <c r="B98" s="244"/>
      <c r="C98" s="244"/>
      <c r="D98" s="179"/>
      <c r="AL98" s="47"/>
      <c r="AM98" s="23"/>
      <c r="AN98" s="28"/>
    </row>
    <row r="99" spans="2:40" x14ac:dyDescent="0.2">
      <c r="B99" s="244"/>
      <c r="C99" s="244"/>
      <c r="D99" s="244">
        <v>4</v>
      </c>
      <c r="E99" s="194">
        <v>46478</v>
      </c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6"/>
      <c r="AK99" s="176" t="s">
        <v>62</v>
      </c>
      <c r="AL99" s="47">
        <f>SUM(AL93+2.5-AN97)</f>
        <v>18.5</v>
      </c>
      <c r="AM99" s="23"/>
      <c r="AN99" s="24"/>
    </row>
    <row r="100" spans="2:40" x14ac:dyDescent="0.2">
      <c r="B100" s="244"/>
      <c r="C100" s="244"/>
      <c r="D100" s="244"/>
      <c r="E100" s="4">
        <v>1</v>
      </c>
      <c r="F100" s="1">
        <v>2</v>
      </c>
      <c r="G100" s="10">
        <v>3</v>
      </c>
      <c r="H100" s="10">
        <v>4</v>
      </c>
      <c r="I100" s="1">
        <v>5</v>
      </c>
      <c r="J100" s="1">
        <v>6</v>
      </c>
      <c r="K100" s="1">
        <v>7</v>
      </c>
      <c r="L100" s="1">
        <v>8</v>
      </c>
      <c r="M100" s="1">
        <v>9</v>
      </c>
      <c r="N100" s="10">
        <v>10</v>
      </c>
      <c r="O100" s="10">
        <v>11</v>
      </c>
      <c r="P100" s="1">
        <v>12</v>
      </c>
      <c r="Q100" s="1">
        <v>13</v>
      </c>
      <c r="R100" s="1">
        <v>14</v>
      </c>
      <c r="S100" s="1">
        <v>15</v>
      </c>
      <c r="T100" s="1">
        <v>16</v>
      </c>
      <c r="U100" s="10">
        <v>17</v>
      </c>
      <c r="V100" s="10">
        <v>18</v>
      </c>
      <c r="W100" s="1">
        <v>19</v>
      </c>
      <c r="X100" s="1">
        <v>20</v>
      </c>
      <c r="Y100" s="1">
        <v>21</v>
      </c>
      <c r="Z100" s="1">
        <v>22</v>
      </c>
      <c r="AA100" s="1">
        <v>23</v>
      </c>
      <c r="AB100" s="10">
        <v>24</v>
      </c>
      <c r="AC100" s="10">
        <v>25</v>
      </c>
      <c r="AD100" s="1">
        <v>26</v>
      </c>
      <c r="AE100" s="1">
        <v>27</v>
      </c>
      <c r="AF100" s="1">
        <v>28</v>
      </c>
      <c r="AG100" s="1">
        <v>29</v>
      </c>
      <c r="AH100" s="1">
        <v>30</v>
      </c>
      <c r="AI100" s="5"/>
      <c r="AL100" s="47"/>
      <c r="AM100" s="23"/>
      <c r="AN100" s="24"/>
    </row>
    <row r="101" spans="2:40" ht="21.75" thickBot="1" x14ac:dyDescent="0.35">
      <c r="B101" s="244"/>
      <c r="C101" s="244"/>
      <c r="D101" s="244"/>
      <c r="E101" s="321" t="s">
        <v>113</v>
      </c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322"/>
      <c r="AB101" s="322"/>
      <c r="AC101" s="322"/>
      <c r="AD101" s="322"/>
      <c r="AE101" s="322"/>
      <c r="AF101" s="322"/>
      <c r="AG101" s="322"/>
      <c r="AH101" s="322"/>
      <c r="AI101" s="65"/>
      <c r="AL101" s="47"/>
      <c r="AM101" s="23"/>
      <c r="AN101" s="24"/>
    </row>
    <row r="102" spans="2:40" ht="15.75" thickBot="1" x14ac:dyDescent="0.25">
      <c r="B102" s="244"/>
      <c r="C102" s="244"/>
      <c r="D102" s="244"/>
      <c r="E102" s="4"/>
      <c r="F102" s="1"/>
      <c r="G102" s="10"/>
      <c r="H102" s="10"/>
      <c r="I102" s="1"/>
      <c r="J102" s="1"/>
      <c r="K102" s="1"/>
      <c r="L102" s="1"/>
      <c r="M102" s="1"/>
      <c r="N102" s="10"/>
      <c r="O102" s="10"/>
      <c r="P102" s="1"/>
      <c r="Q102" s="1"/>
      <c r="R102" s="1"/>
      <c r="S102" s="1"/>
      <c r="T102" s="1"/>
      <c r="U102" s="10"/>
      <c r="V102" s="10"/>
      <c r="W102" s="1"/>
      <c r="X102" s="1"/>
      <c r="Y102" s="1"/>
      <c r="Z102" s="1"/>
      <c r="AA102" s="1"/>
      <c r="AB102" s="10"/>
      <c r="AC102" s="10"/>
      <c r="AD102" s="1"/>
      <c r="AE102" s="1"/>
      <c r="AF102" s="1"/>
      <c r="AG102" s="1"/>
      <c r="AH102" s="1"/>
      <c r="AI102" s="5"/>
      <c r="AL102" s="47"/>
      <c r="AM102" s="23"/>
      <c r="AN102" s="27"/>
    </row>
    <row r="103" spans="2:40" ht="15.75" thickBot="1" x14ac:dyDescent="0.25">
      <c r="B103" s="244"/>
      <c r="C103" s="244"/>
      <c r="D103" s="244"/>
      <c r="E103" s="4"/>
      <c r="F103" s="1"/>
      <c r="G103" s="10"/>
      <c r="H103" s="10"/>
      <c r="I103" s="1"/>
      <c r="J103" s="1"/>
      <c r="K103" s="1"/>
      <c r="L103" s="1"/>
      <c r="M103" s="1"/>
      <c r="N103" s="10"/>
      <c r="O103" s="10"/>
      <c r="P103" s="1"/>
      <c r="Q103" s="1"/>
      <c r="R103" s="1"/>
      <c r="S103" s="1"/>
      <c r="T103" s="1"/>
      <c r="U103" s="10"/>
      <c r="V103" s="10"/>
      <c r="W103" s="1"/>
      <c r="X103" s="1"/>
      <c r="Y103" s="1"/>
      <c r="Z103" s="1"/>
      <c r="AA103" s="1"/>
      <c r="AB103" s="10"/>
      <c r="AC103" s="10"/>
      <c r="AD103" s="1"/>
      <c r="AE103" s="1"/>
      <c r="AF103" s="1"/>
      <c r="AG103" s="1"/>
      <c r="AH103" s="1"/>
      <c r="AI103" s="5"/>
      <c r="AL103" s="47"/>
      <c r="AM103" s="26"/>
      <c r="AN103" s="29">
        <v>0</v>
      </c>
    </row>
    <row r="104" spans="2:40" ht="15.75" thickBot="1" x14ac:dyDescent="0.25">
      <c r="B104" s="244"/>
      <c r="C104" s="244"/>
      <c r="D104" s="179"/>
      <c r="AL104" s="47"/>
      <c r="AM104" s="23"/>
      <c r="AN104" s="28"/>
    </row>
    <row r="105" spans="2:40" x14ac:dyDescent="0.2">
      <c r="B105" s="244"/>
      <c r="C105" s="244"/>
      <c r="D105" s="244">
        <v>5</v>
      </c>
      <c r="E105" s="194">
        <v>46508</v>
      </c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6"/>
      <c r="AK105" s="176" t="s">
        <v>51</v>
      </c>
      <c r="AL105" s="47">
        <f>SUM(AL99+2.5-AN103)</f>
        <v>21</v>
      </c>
      <c r="AM105" s="23"/>
      <c r="AN105" s="24"/>
    </row>
    <row r="106" spans="2:40" x14ac:dyDescent="0.2">
      <c r="B106" s="244"/>
      <c r="C106" s="244"/>
      <c r="D106" s="244"/>
      <c r="E106" s="12">
        <v>1</v>
      </c>
      <c r="F106" s="10">
        <v>2</v>
      </c>
      <c r="G106" s="1">
        <v>3</v>
      </c>
      <c r="H106" s="1">
        <v>4</v>
      </c>
      <c r="I106" s="1">
        <v>5</v>
      </c>
      <c r="J106" s="1">
        <v>6</v>
      </c>
      <c r="K106" s="1">
        <v>7</v>
      </c>
      <c r="L106" s="10">
        <v>8</v>
      </c>
      <c r="M106" s="10">
        <v>9</v>
      </c>
      <c r="N106" s="1">
        <v>10</v>
      </c>
      <c r="O106" s="1">
        <v>11</v>
      </c>
      <c r="P106" s="1">
        <v>12</v>
      </c>
      <c r="Q106" s="1">
        <v>13</v>
      </c>
      <c r="R106" s="1">
        <v>14</v>
      </c>
      <c r="S106" s="10">
        <v>15</v>
      </c>
      <c r="T106" s="10">
        <v>16</v>
      </c>
      <c r="U106" s="1">
        <v>17</v>
      </c>
      <c r="V106" s="1">
        <v>18</v>
      </c>
      <c r="W106" s="1">
        <v>19</v>
      </c>
      <c r="X106" s="1">
        <v>20</v>
      </c>
      <c r="Y106" s="1">
        <v>21</v>
      </c>
      <c r="Z106" s="10">
        <v>22</v>
      </c>
      <c r="AA106" s="10">
        <v>23</v>
      </c>
      <c r="AB106" s="1">
        <v>24</v>
      </c>
      <c r="AC106" s="1">
        <v>25</v>
      </c>
      <c r="AD106" s="1">
        <v>26</v>
      </c>
      <c r="AE106" s="1">
        <v>27</v>
      </c>
      <c r="AF106" s="1">
        <v>28</v>
      </c>
      <c r="AG106" s="10">
        <v>29</v>
      </c>
      <c r="AH106" s="10">
        <v>30</v>
      </c>
      <c r="AI106" s="5">
        <v>31</v>
      </c>
      <c r="AL106" s="47"/>
      <c r="AM106" s="23"/>
      <c r="AN106" s="24"/>
    </row>
    <row r="107" spans="2:40" ht="21.75" thickBot="1" x14ac:dyDescent="0.35">
      <c r="B107" s="244"/>
      <c r="C107" s="244"/>
      <c r="D107" s="244"/>
      <c r="E107" s="322" t="s">
        <v>113</v>
      </c>
      <c r="F107" s="322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322"/>
      <c r="AB107" s="322"/>
      <c r="AC107" s="322"/>
      <c r="AD107" s="322"/>
      <c r="AE107" s="322"/>
      <c r="AF107" s="322"/>
      <c r="AG107" s="322"/>
      <c r="AH107" s="322"/>
      <c r="AI107" s="342"/>
      <c r="AL107" s="47"/>
      <c r="AM107" s="23"/>
      <c r="AN107" s="24"/>
    </row>
    <row r="108" spans="2:40" ht="15.75" thickBot="1" x14ac:dyDescent="0.25">
      <c r="B108" s="244"/>
      <c r="C108" s="244"/>
      <c r="D108" s="244"/>
      <c r="E108" s="12"/>
      <c r="F108" s="10"/>
      <c r="G108" s="1"/>
      <c r="H108" s="1"/>
      <c r="I108" s="1"/>
      <c r="J108" s="1"/>
      <c r="K108" s="1"/>
      <c r="L108" s="10"/>
      <c r="M108" s="10"/>
      <c r="N108" s="1"/>
      <c r="O108" s="1"/>
      <c r="P108" s="1"/>
      <c r="Q108" s="1"/>
      <c r="R108" s="1"/>
      <c r="S108" s="10"/>
      <c r="T108" s="10"/>
      <c r="U108" s="1"/>
      <c r="V108" s="1"/>
      <c r="W108" s="1"/>
      <c r="X108" s="1"/>
      <c r="Y108" s="1"/>
      <c r="Z108" s="10"/>
      <c r="AA108" s="10"/>
      <c r="AB108" s="1"/>
      <c r="AC108" s="1"/>
      <c r="AD108" s="1"/>
      <c r="AE108" s="1"/>
      <c r="AF108" s="1"/>
      <c r="AG108" s="10"/>
      <c r="AH108" s="10"/>
      <c r="AI108" s="5"/>
      <c r="AL108" s="47"/>
      <c r="AM108" s="23"/>
      <c r="AN108" s="27"/>
    </row>
    <row r="109" spans="2:40" ht="15.75" thickBot="1" x14ac:dyDescent="0.25">
      <c r="B109" s="244"/>
      <c r="C109" s="244"/>
      <c r="D109" s="244"/>
      <c r="E109" s="12"/>
      <c r="F109" s="10"/>
      <c r="G109" s="1"/>
      <c r="H109" s="1"/>
      <c r="I109" s="1"/>
      <c r="J109" s="1"/>
      <c r="K109" s="1"/>
      <c r="L109" s="10"/>
      <c r="M109" s="10"/>
      <c r="N109" s="1"/>
      <c r="O109" s="1"/>
      <c r="P109" s="1"/>
      <c r="Q109" s="1"/>
      <c r="R109" s="1"/>
      <c r="S109" s="10"/>
      <c r="T109" s="10"/>
      <c r="U109" s="1"/>
      <c r="V109" s="1"/>
      <c r="W109" s="1"/>
      <c r="X109" s="1"/>
      <c r="Y109" s="1"/>
      <c r="Z109" s="10"/>
      <c r="AA109" s="10"/>
      <c r="AB109" s="1"/>
      <c r="AC109" s="1"/>
      <c r="AD109" s="1"/>
      <c r="AE109" s="1"/>
      <c r="AF109" s="1"/>
      <c r="AG109" s="10"/>
      <c r="AH109" s="10"/>
      <c r="AI109" s="5"/>
      <c r="AL109" s="47"/>
      <c r="AM109" s="26"/>
      <c r="AN109" s="29">
        <v>0</v>
      </c>
    </row>
    <row r="110" spans="2:40" ht="15.75" thickBot="1" x14ac:dyDescent="0.25">
      <c r="B110" s="244"/>
      <c r="C110" s="244"/>
      <c r="D110" s="179"/>
      <c r="AL110" s="47"/>
      <c r="AM110" s="23"/>
      <c r="AN110" s="28"/>
    </row>
    <row r="111" spans="2:40" x14ac:dyDescent="0.2">
      <c r="B111" s="244"/>
      <c r="C111" s="244"/>
      <c r="D111" s="244">
        <v>6</v>
      </c>
      <c r="E111" s="194">
        <v>46539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6"/>
      <c r="AK111" s="176" t="s">
        <v>52</v>
      </c>
      <c r="AL111" s="47">
        <f>SUM(AL105+2.5-AN109)</f>
        <v>23.5</v>
      </c>
      <c r="AM111" s="23"/>
      <c r="AN111" s="24"/>
    </row>
    <row r="112" spans="2:40" x14ac:dyDescent="0.2">
      <c r="B112" s="244"/>
      <c r="C112" s="244"/>
      <c r="D112" s="244"/>
      <c r="E112" s="4">
        <v>1</v>
      </c>
      <c r="F112" s="1">
        <v>2</v>
      </c>
      <c r="G112" s="1">
        <v>3</v>
      </c>
      <c r="H112" s="1">
        <v>4</v>
      </c>
      <c r="I112" s="10">
        <v>5</v>
      </c>
      <c r="J112" s="10">
        <v>6</v>
      </c>
      <c r="K112" s="1">
        <v>7</v>
      </c>
      <c r="L112" s="1">
        <v>8</v>
      </c>
      <c r="M112" s="1">
        <v>9</v>
      </c>
      <c r="N112" s="1">
        <v>10</v>
      </c>
      <c r="O112" s="1">
        <v>11</v>
      </c>
      <c r="P112" s="10">
        <v>12</v>
      </c>
      <c r="Q112" s="10">
        <v>13</v>
      </c>
      <c r="R112" s="1">
        <v>14</v>
      </c>
      <c r="S112" s="1">
        <v>15</v>
      </c>
      <c r="T112" s="1">
        <v>16</v>
      </c>
      <c r="U112" s="1">
        <v>17</v>
      </c>
      <c r="V112" s="1">
        <v>18</v>
      </c>
      <c r="W112" s="10">
        <v>19</v>
      </c>
      <c r="X112" s="10">
        <v>20</v>
      </c>
      <c r="Y112" s="1">
        <v>21</v>
      </c>
      <c r="Z112" s="1">
        <v>22</v>
      </c>
      <c r="AA112" s="1">
        <v>23</v>
      </c>
      <c r="AB112" s="1">
        <v>24</v>
      </c>
      <c r="AC112" s="1">
        <v>25</v>
      </c>
      <c r="AD112" s="10">
        <v>26</v>
      </c>
      <c r="AE112" s="10">
        <v>27</v>
      </c>
      <c r="AF112" s="1">
        <v>28</v>
      </c>
      <c r="AG112" s="1">
        <v>29</v>
      </c>
      <c r="AH112" s="1">
        <v>30</v>
      </c>
      <c r="AI112" s="5"/>
      <c r="AL112" s="47"/>
      <c r="AM112" s="23"/>
      <c r="AN112" s="24"/>
    </row>
    <row r="113" spans="2:40" ht="21.75" thickBot="1" x14ac:dyDescent="0.35">
      <c r="B113" s="244"/>
      <c r="C113" s="244"/>
      <c r="D113" s="244"/>
      <c r="E113" s="371" t="s">
        <v>166</v>
      </c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72"/>
      <c r="R113" s="370" t="s">
        <v>76</v>
      </c>
      <c r="S113" s="307"/>
      <c r="T113" s="307"/>
      <c r="U113" s="307"/>
      <c r="V113" s="307"/>
      <c r="W113" s="307"/>
      <c r="X113" s="307"/>
      <c r="Y113" s="307"/>
      <c r="Z113" s="307"/>
      <c r="AA113" s="307"/>
      <c r="AB113" s="307"/>
      <c r="AC113" s="307"/>
      <c r="AD113" s="307"/>
      <c r="AE113" s="307"/>
      <c r="AF113" s="307"/>
      <c r="AG113" s="307"/>
      <c r="AH113" s="307"/>
      <c r="AI113" s="124"/>
      <c r="AL113" s="47"/>
      <c r="AM113" s="23"/>
      <c r="AN113" s="24"/>
    </row>
    <row r="114" spans="2:40" ht="15.75" thickBot="1" x14ac:dyDescent="0.25">
      <c r="B114" s="244"/>
      <c r="C114" s="244"/>
      <c r="D114" s="244"/>
      <c r="E114" s="99"/>
      <c r="F114" s="102"/>
      <c r="G114" s="1"/>
      <c r="H114" s="1"/>
      <c r="I114" s="10"/>
      <c r="J114" s="10"/>
      <c r="K114" s="1"/>
      <c r="L114" s="1"/>
      <c r="M114" s="1"/>
      <c r="N114" s="1"/>
      <c r="O114" s="1"/>
      <c r="P114" s="10"/>
      <c r="Q114" s="10"/>
      <c r="R114" s="1"/>
      <c r="S114" s="1"/>
      <c r="T114" s="1"/>
      <c r="U114" s="1"/>
      <c r="V114" s="1"/>
      <c r="W114" s="10"/>
      <c r="X114" s="10"/>
      <c r="Y114" s="1"/>
      <c r="Z114" s="1"/>
      <c r="AA114" s="1"/>
      <c r="AB114" s="1"/>
      <c r="AC114" s="1"/>
      <c r="AD114" s="10"/>
      <c r="AE114" s="10"/>
      <c r="AF114" s="1"/>
      <c r="AG114" s="1"/>
      <c r="AH114" s="1"/>
      <c r="AI114" s="5"/>
      <c r="AL114" s="47"/>
      <c r="AM114" s="23"/>
      <c r="AN114" s="27"/>
    </row>
    <row r="115" spans="2:40" ht="15.75" thickBot="1" x14ac:dyDescent="0.25">
      <c r="B115" s="244"/>
      <c r="C115" s="244"/>
      <c r="D115" s="244"/>
      <c r="E115" s="99"/>
      <c r="F115" s="102"/>
      <c r="G115" s="1"/>
      <c r="H115" s="1"/>
      <c r="I115" s="10"/>
      <c r="J115" s="10"/>
      <c r="K115" s="1"/>
      <c r="L115" s="1"/>
      <c r="M115" s="1"/>
      <c r="N115" s="1"/>
      <c r="O115" s="1"/>
      <c r="P115" s="10"/>
      <c r="Q115" s="10"/>
      <c r="R115" s="1"/>
      <c r="S115" s="1"/>
      <c r="T115" s="1"/>
      <c r="U115" s="1"/>
      <c r="V115" s="143" t="s">
        <v>91</v>
      </c>
      <c r="W115" s="10"/>
      <c r="X115" s="10"/>
      <c r="Y115" s="1"/>
      <c r="Z115" s="1"/>
      <c r="AA115" s="1"/>
      <c r="AB115" s="1"/>
      <c r="AC115" s="1"/>
      <c r="AD115" s="10"/>
      <c r="AE115" s="10"/>
      <c r="AF115" s="1"/>
      <c r="AG115" s="1"/>
      <c r="AH115" s="1"/>
      <c r="AI115" s="5"/>
      <c r="AL115" s="48"/>
      <c r="AM115" s="26"/>
      <c r="AN115" s="29">
        <v>17</v>
      </c>
    </row>
    <row r="116" spans="2:40" ht="35.25" thickBot="1" x14ac:dyDescent="0.55000000000000004">
      <c r="AJ116" s="55"/>
      <c r="AK116" s="55"/>
      <c r="AL116" s="54" t="s">
        <v>11</v>
      </c>
      <c r="AM116" s="148"/>
      <c r="AN116" s="28"/>
    </row>
    <row r="117" spans="2:40" ht="35.25" thickBot="1" x14ac:dyDescent="0.55000000000000004">
      <c r="E117" s="194">
        <v>46569</v>
      </c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6"/>
      <c r="AJ117" s="55"/>
      <c r="AK117" s="55" t="s">
        <v>53</v>
      </c>
      <c r="AL117" s="53">
        <f>SUM(AL111-AN115)</f>
        <v>6.5</v>
      </c>
      <c r="AM117" s="148"/>
      <c r="AN117" s="24"/>
    </row>
    <row r="118" spans="2:40" x14ac:dyDescent="0.2">
      <c r="E118" s="16">
        <v>1</v>
      </c>
      <c r="F118" s="1">
        <v>2</v>
      </c>
      <c r="G118" s="10">
        <v>3</v>
      </c>
      <c r="H118" s="10">
        <v>4</v>
      </c>
      <c r="I118" s="1">
        <v>5</v>
      </c>
      <c r="J118" s="1">
        <v>6</v>
      </c>
      <c r="K118" s="1">
        <v>7</v>
      </c>
      <c r="L118" s="1">
        <v>8</v>
      </c>
      <c r="M118" s="1">
        <v>9</v>
      </c>
      <c r="N118" s="10">
        <v>10</v>
      </c>
      <c r="O118" s="10">
        <v>11</v>
      </c>
      <c r="P118" s="1">
        <v>12</v>
      </c>
      <c r="Q118" s="1">
        <v>13</v>
      </c>
      <c r="R118" s="1">
        <v>14</v>
      </c>
      <c r="S118" s="1">
        <v>15</v>
      </c>
      <c r="T118" s="1">
        <v>16</v>
      </c>
      <c r="U118" s="10">
        <v>17</v>
      </c>
      <c r="V118" s="10">
        <v>18</v>
      </c>
      <c r="W118" s="1">
        <v>19</v>
      </c>
      <c r="X118" s="1">
        <v>20</v>
      </c>
      <c r="Y118" s="1">
        <v>21</v>
      </c>
      <c r="Z118" s="1">
        <v>22</v>
      </c>
      <c r="AA118" s="1">
        <v>23</v>
      </c>
      <c r="AB118" s="10">
        <v>24</v>
      </c>
      <c r="AC118" s="10">
        <v>25</v>
      </c>
      <c r="AD118" s="1">
        <v>26</v>
      </c>
      <c r="AE118" s="1">
        <v>27</v>
      </c>
      <c r="AF118" s="1">
        <v>28</v>
      </c>
      <c r="AG118" s="1">
        <v>29</v>
      </c>
      <c r="AH118" s="1">
        <v>30</v>
      </c>
      <c r="AI118" s="14">
        <v>31</v>
      </c>
      <c r="AL118" s="49"/>
      <c r="AM118" s="23"/>
      <c r="AN118" s="24"/>
    </row>
    <row r="119" spans="2:40" x14ac:dyDescent="0.2">
      <c r="E119" s="20" t="s">
        <v>1</v>
      </c>
      <c r="F119" s="1"/>
      <c r="G119" s="10"/>
      <c r="H119" s="10"/>
      <c r="I119" s="1"/>
      <c r="J119" s="1"/>
      <c r="K119" s="1"/>
      <c r="L119" s="1"/>
      <c r="M119" s="1"/>
      <c r="N119" s="10"/>
      <c r="O119" s="10"/>
      <c r="P119" s="1"/>
      <c r="Q119" s="1"/>
      <c r="R119" s="1"/>
      <c r="S119" s="1"/>
      <c r="T119" s="1"/>
      <c r="U119" s="10"/>
      <c r="V119" s="10"/>
      <c r="W119" s="1"/>
      <c r="X119" s="1"/>
      <c r="Y119" s="1"/>
      <c r="Z119" s="1"/>
      <c r="AA119" s="1"/>
      <c r="AB119" s="10"/>
      <c r="AC119" s="10"/>
      <c r="AD119" s="1"/>
      <c r="AE119" s="1"/>
      <c r="AF119" s="1"/>
      <c r="AG119" s="1"/>
      <c r="AH119" s="1"/>
      <c r="AI119" s="14"/>
      <c r="AL119" s="47"/>
      <c r="AM119" s="23"/>
      <c r="AN119" s="24"/>
    </row>
    <row r="120" spans="2:40" x14ac:dyDescent="0.2">
      <c r="E120" s="16"/>
      <c r="F120" s="1"/>
      <c r="G120" s="10"/>
      <c r="H120" s="10"/>
      <c r="I120" s="1"/>
      <c r="J120" s="1"/>
      <c r="K120" s="1"/>
      <c r="L120" s="1"/>
      <c r="M120" s="1"/>
      <c r="N120" s="10"/>
      <c r="O120" s="10"/>
      <c r="P120" s="1"/>
      <c r="Q120" s="1"/>
      <c r="R120" s="1"/>
      <c r="S120" s="1"/>
      <c r="T120" s="1"/>
      <c r="U120" s="10"/>
      <c r="V120" s="10"/>
      <c r="W120" s="1"/>
      <c r="X120" s="1"/>
      <c r="Y120" s="1"/>
      <c r="Z120" s="1"/>
      <c r="AA120" s="1"/>
      <c r="AB120" s="10"/>
      <c r="AC120" s="10"/>
      <c r="AD120" s="1"/>
      <c r="AE120" s="1"/>
      <c r="AF120" s="1"/>
      <c r="AG120" s="1"/>
      <c r="AH120" s="1"/>
      <c r="AI120" s="14"/>
      <c r="AL120" s="47"/>
      <c r="AM120" s="23"/>
      <c r="AN120" s="24"/>
    </row>
    <row r="121" spans="2:40" ht="15.75" thickBot="1" x14ac:dyDescent="0.25">
      <c r="E121" s="17"/>
      <c r="F121" s="7"/>
      <c r="G121" s="11"/>
      <c r="H121" s="11"/>
      <c r="I121" s="7"/>
      <c r="J121" s="7"/>
      <c r="K121" s="7"/>
      <c r="L121" s="7"/>
      <c r="M121" s="7"/>
      <c r="N121" s="11"/>
      <c r="O121" s="11"/>
      <c r="P121" s="7"/>
      <c r="Q121" s="7"/>
      <c r="R121" s="7"/>
      <c r="S121" s="7"/>
      <c r="T121" s="7"/>
      <c r="U121" s="11"/>
      <c r="V121" s="11"/>
      <c r="W121" s="7"/>
      <c r="X121" s="7"/>
      <c r="Y121" s="7"/>
      <c r="Z121" s="7"/>
      <c r="AA121" s="7"/>
      <c r="AB121" s="11"/>
      <c r="AC121" s="11"/>
      <c r="AD121" s="7"/>
      <c r="AE121" s="7"/>
      <c r="AF121" s="7"/>
      <c r="AG121" s="7"/>
      <c r="AH121" s="7"/>
      <c r="AI121" s="15"/>
      <c r="AL121" s="47"/>
      <c r="AM121" s="23"/>
      <c r="AN121" s="24"/>
    </row>
    <row r="124" spans="2:40" x14ac:dyDescent="0.2">
      <c r="AG124">
        <v>6</v>
      </c>
    </row>
    <row r="125" spans="2:40" x14ac:dyDescent="0.2">
      <c r="AG125">
        <v>31</v>
      </c>
    </row>
    <row r="126" spans="2:40" x14ac:dyDescent="0.2">
      <c r="AG126">
        <v>30</v>
      </c>
    </row>
    <row r="127" spans="2:40" x14ac:dyDescent="0.2">
      <c r="AG127">
        <v>7</v>
      </c>
    </row>
    <row r="128" spans="2:40" x14ac:dyDescent="0.2">
      <c r="AG128">
        <f>SUM(AG124:AG127)</f>
        <v>74</v>
      </c>
    </row>
    <row r="132" spans="5:5" x14ac:dyDescent="0.2">
      <c r="E132" t="s">
        <v>20</v>
      </c>
    </row>
    <row r="133" spans="5:5" x14ac:dyDescent="0.2">
      <c r="E133" t="s">
        <v>21</v>
      </c>
    </row>
    <row r="134" spans="5:5" x14ac:dyDescent="0.2">
      <c r="E134" t="s">
        <v>22</v>
      </c>
    </row>
    <row r="135" spans="5:5" x14ac:dyDescent="0.2">
      <c r="E135" t="s">
        <v>23</v>
      </c>
    </row>
    <row r="136" spans="5:5" x14ac:dyDescent="0.2">
      <c r="E136" t="s">
        <v>24</v>
      </c>
    </row>
    <row r="137" spans="5:5" x14ac:dyDescent="0.2">
      <c r="E137" t="s">
        <v>25</v>
      </c>
    </row>
    <row r="138" spans="5:5" x14ac:dyDescent="0.2">
      <c r="E138" t="s">
        <v>26</v>
      </c>
    </row>
    <row r="139" spans="5:5" x14ac:dyDescent="0.2">
      <c r="E139" t="s">
        <v>27</v>
      </c>
    </row>
    <row r="140" spans="5:5" x14ac:dyDescent="0.2">
      <c r="E140" s="86" t="s">
        <v>28</v>
      </c>
    </row>
  </sheetData>
  <mergeCells count="90">
    <mergeCell ref="E117:AI117"/>
    <mergeCell ref="R113:AH113"/>
    <mergeCell ref="E113:Q113"/>
    <mergeCell ref="E59:AH59"/>
    <mergeCell ref="E71:J71"/>
    <mergeCell ref="E77:H77"/>
    <mergeCell ref="K77:O77"/>
    <mergeCell ref="E65:M65"/>
    <mergeCell ref="E75:AI75"/>
    <mergeCell ref="R77:V77"/>
    <mergeCell ref="Y77:AA77"/>
    <mergeCell ref="AF77:AH77"/>
    <mergeCell ref="K78:M78"/>
    <mergeCell ref="N78:O78"/>
    <mergeCell ref="Y78:AI78"/>
    <mergeCell ref="E69:AI69"/>
    <mergeCell ref="D105:D109"/>
    <mergeCell ref="E105:AI105"/>
    <mergeCell ref="E107:AI107"/>
    <mergeCell ref="D111:D115"/>
    <mergeCell ref="E111:AI111"/>
    <mergeCell ref="D93:D97"/>
    <mergeCell ref="E93:AI93"/>
    <mergeCell ref="E95:AI95"/>
    <mergeCell ref="D99:D103"/>
    <mergeCell ref="E99:AI99"/>
    <mergeCell ref="E101:AH101"/>
    <mergeCell ref="D81:D85"/>
    <mergeCell ref="E81:AI81"/>
    <mergeCell ref="F83:AI83"/>
    <mergeCell ref="D87:D91"/>
    <mergeCell ref="E87:AI87"/>
    <mergeCell ref="E89:AF89"/>
    <mergeCell ref="P71:Q71"/>
    <mergeCell ref="T71:AC71"/>
    <mergeCell ref="T72:V72"/>
    <mergeCell ref="W72:X72"/>
    <mergeCell ref="AA72:AE72"/>
    <mergeCell ref="Q65:T65"/>
    <mergeCell ref="I66:J66"/>
    <mergeCell ref="W66:Y66"/>
    <mergeCell ref="Z66:AA66"/>
    <mergeCell ref="W65:AI65"/>
    <mergeCell ref="E57:AI57"/>
    <mergeCell ref="R60:T60"/>
    <mergeCell ref="U60:V60"/>
    <mergeCell ref="E63:AI63"/>
    <mergeCell ref="BM64:CQ64"/>
    <mergeCell ref="E51:AI51"/>
    <mergeCell ref="G53:K53"/>
    <mergeCell ref="Q53:R53"/>
    <mergeCell ref="U53:W53"/>
    <mergeCell ref="X53:Y53"/>
    <mergeCell ref="AH53:AI53"/>
    <mergeCell ref="AB53:AF53"/>
    <mergeCell ref="E33:AI33"/>
    <mergeCell ref="F35:AI35"/>
    <mergeCell ref="E39:AI39"/>
    <mergeCell ref="E41:AH41"/>
    <mergeCell ref="B45:C115"/>
    <mergeCell ref="E45:AI45"/>
    <mergeCell ref="E47:F47"/>
    <mergeCell ref="J47:N47"/>
    <mergeCell ref="R47:U47"/>
    <mergeCell ref="X47:Y47"/>
    <mergeCell ref="M55:S55"/>
    <mergeCell ref="Z47:AB47"/>
    <mergeCell ref="AE47:AI47"/>
    <mergeCell ref="Q48:S48"/>
    <mergeCell ref="T48:U48"/>
    <mergeCell ref="AH48:AI48"/>
    <mergeCell ref="E29:G29"/>
    <mergeCell ref="H29:AG29"/>
    <mergeCell ref="E15:AI15"/>
    <mergeCell ref="F17:N17"/>
    <mergeCell ref="O17:AF17"/>
    <mergeCell ref="Z18:AF18"/>
    <mergeCell ref="E21:AI21"/>
    <mergeCell ref="E23:AI23"/>
    <mergeCell ref="E24:L24"/>
    <mergeCell ref="M24:X24"/>
    <mergeCell ref="AA24:AC24"/>
    <mergeCell ref="AD24:AF24"/>
    <mergeCell ref="E27:AI27"/>
    <mergeCell ref="Q13:S13"/>
    <mergeCell ref="E1:AI1"/>
    <mergeCell ref="E4:AI4"/>
    <mergeCell ref="E8:AI8"/>
    <mergeCell ref="E11:AB11"/>
    <mergeCell ref="AC11:AI11"/>
  </mergeCells>
  <pageMargins left="0.7" right="0.7" top="0.75" bottom="0.75" header="0.3" footer="0.3"/>
  <pageSetup scale="1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88B6-FAAE-0948-8E9E-BC2646E6A224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01A9-90E6-8842-9E7B-5968B7EE270B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EAAF-80C0-4B4A-83C4-241195F133FE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3F8C-874F-A747-B383-3E3555DB4AEB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2533-B1A6-7F46-B01A-1252604162A6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2B9C-5C9E-C345-A700-D5E775833FC3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603D-61E9-E741-A391-4742D2528285}">
  <sheetPr>
    <pageSetUpPr fitToPage="1"/>
  </sheetPr>
  <dimension ref="A1:CP140"/>
  <sheetViews>
    <sheetView topLeftCell="A55" zoomScale="80" zoomScaleNormal="80" workbookViewId="0">
      <selection activeCell="AM69" sqref="AM69"/>
    </sheetView>
  </sheetViews>
  <sheetFormatPr defaultRowHeight="15" x14ac:dyDescent="0.2"/>
  <cols>
    <col min="20" max="20" width="10.625" customWidth="1"/>
    <col min="35" max="35" width="15.19921875" style="134" customWidth="1"/>
    <col min="36" max="36" width="15.46875" style="134" customWidth="1"/>
    <col min="37" max="37" width="13.5859375" style="50" bestFit="1" customWidth="1"/>
    <col min="38" max="38" width="8.609375" style="134"/>
    <col min="39" max="39" width="8.609375" style="25"/>
  </cols>
  <sheetData>
    <row r="1" spans="4:39" x14ac:dyDescent="0.2">
      <c r="D1" s="194">
        <v>45992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6"/>
      <c r="AK1" s="47">
        <v>68</v>
      </c>
      <c r="AL1" s="23"/>
      <c r="AM1" s="24"/>
    </row>
    <row r="2" spans="4:39" x14ac:dyDescent="0.2">
      <c r="D2" s="111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3"/>
      <c r="AK2" s="47"/>
      <c r="AL2" s="23"/>
      <c r="AM2" s="24"/>
    </row>
    <row r="3" spans="4:39" x14ac:dyDescent="0.2">
      <c r="D3" s="30">
        <v>1</v>
      </c>
      <c r="E3" s="31">
        <v>2</v>
      </c>
      <c r="F3" s="31">
        <v>3</v>
      </c>
      <c r="G3" s="31">
        <v>4</v>
      </c>
      <c r="H3" s="31">
        <v>5</v>
      </c>
      <c r="I3" s="10">
        <v>6</v>
      </c>
      <c r="J3" s="10">
        <v>7</v>
      </c>
      <c r="K3" s="31">
        <v>8</v>
      </c>
      <c r="L3" s="31">
        <v>9</v>
      </c>
      <c r="M3" s="31">
        <v>10</v>
      </c>
      <c r="N3" s="31">
        <v>11</v>
      </c>
      <c r="O3" s="31">
        <v>12</v>
      </c>
      <c r="P3" s="10">
        <v>13</v>
      </c>
      <c r="Q3" s="10">
        <v>14</v>
      </c>
      <c r="R3" s="31">
        <v>15</v>
      </c>
      <c r="S3" s="31">
        <v>16</v>
      </c>
      <c r="T3" s="31">
        <v>17</v>
      </c>
      <c r="U3" s="31">
        <v>18</v>
      </c>
      <c r="V3" s="31">
        <v>19</v>
      </c>
      <c r="W3" s="10">
        <v>20</v>
      </c>
      <c r="X3" s="10">
        <v>21</v>
      </c>
      <c r="Y3" s="31">
        <v>22</v>
      </c>
      <c r="Z3" s="31">
        <v>23</v>
      </c>
      <c r="AA3" s="31">
        <v>24</v>
      </c>
      <c r="AB3" s="31">
        <v>25</v>
      </c>
      <c r="AC3" s="31">
        <v>26</v>
      </c>
      <c r="AD3" s="10">
        <v>27</v>
      </c>
      <c r="AE3" s="10">
        <v>28</v>
      </c>
      <c r="AF3" s="31">
        <v>29</v>
      </c>
      <c r="AG3" s="31">
        <v>30</v>
      </c>
      <c r="AH3" s="34">
        <v>31</v>
      </c>
      <c r="AK3" s="47"/>
      <c r="AL3" s="23"/>
      <c r="AM3" s="24"/>
    </row>
    <row r="4" spans="4:39" x14ac:dyDescent="0.2">
      <c r="D4" s="223" t="s">
        <v>5</v>
      </c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5"/>
      <c r="AK4" s="47"/>
      <c r="AL4" s="23"/>
      <c r="AM4" s="24"/>
    </row>
    <row r="5" spans="4:39" ht="15.75" thickBot="1" x14ac:dyDescent="0.25">
      <c r="D5" s="30"/>
      <c r="E5" s="31"/>
      <c r="F5" s="31"/>
      <c r="G5" s="31"/>
      <c r="H5" s="31"/>
      <c r="I5" s="10"/>
      <c r="J5" s="10"/>
      <c r="K5" s="31"/>
      <c r="L5" s="31"/>
      <c r="M5" s="31"/>
      <c r="N5" s="31"/>
      <c r="O5" s="31"/>
      <c r="P5" s="10"/>
      <c r="Q5" s="10"/>
      <c r="R5" s="31"/>
      <c r="S5" s="31"/>
      <c r="T5" s="31"/>
      <c r="U5" s="31"/>
      <c r="V5" s="31"/>
      <c r="W5" s="10"/>
      <c r="X5" s="10"/>
      <c r="Y5" s="31"/>
      <c r="Z5" s="31"/>
      <c r="AA5" s="31"/>
      <c r="AB5" s="31"/>
      <c r="AC5" s="31"/>
      <c r="AD5" s="10"/>
      <c r="AE5" s="10"/>
      <c r="AF5" s="31"/>
      <c r="AG5" s="31"/>
      <c r="AH5" s="34"/>
      <c r="AK5" s="47"/>
      <c r="AL5" s="23"/>
      <c r="AM5" s="24"/>
    </row>
    <row r="6" spans="4:39" ht="15.75" thickBot="1" x14ac:dyDescent="0.25">
      <c r="D6" s="32"/>
      <c r="E6" s="33"/>
      <c r="F6" s="33"/>
      <c r="G6" s="33"/>
      <c r="H6" s="33"/>
      <c r="I6" s="11"/>
      <c r="J6" s="11"/>
      <c r="K6" s="33"/>
      <c r="L6" s="33"/>
      <c r="M6" s="33"/>
      <c r="N6" s="33"/>
      <c r="O6" s="33"/>
      <c r="P6" s="11"/>
      <c r="Q6" s="11"/>
      <c r="R6" s="33"/>
      <c r="S6" s="33"/>
      <c r="T6" s="33"/>
      <c r="U6" s="33"/>
      <c r="V6" s="33"/>
      <c r="W6" s="11"/>
      <c r="X6" s="11"/>
      <c r="Y6" s="33"/>
      <c r="Z6" s="33"/>
      <c r="AA6" s="33"/>
      <c r="AB6" s="33"/>
      <c r="AC6" s="33"/>
      <c r="AD6" s="11"/>
      <c r="AE6" s="11"/>
      <c r="AF6" s="33"/>
      <c r="AG6" s="33"/>
      <c r="AH6" s="35"/>
      <c r="AK6" s="47"/>
      <c r="AL6" s="23"/>
      <c r="AM6" s="29">
        <v>0</v>
      </c>
    </row>
    <row r="7" spans="4:39" ht="15.75" thickBot="1" x14ac:dyDescent="0.25">
      <c r="AK7" s="47"/>
      <c r="AL7" s="23"/>
      <c r="AM7" s="24"/>
    </row>
    <row r="8" spans="4:39" x14ac:dyDescent="0.2">
      <c r="D8" s="194">
        <v>46023</v>
      </c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6"/>
      <c r="AK8" s="47">
        <f>SUM(AK1+2.5-AM6)</f>
        <v>70.5</v>
      </c>
      <c r="AL8" s="23"/>
      <c r="AM8" s="24"/>
    </row>
    <row r="9" spans="4:39" x14ac:dyDescent="0.2">
      <c r="D9" s="111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3"/>
      <c r="AK9" s="47"/>
      <c r="AL9" s="23"/>
      <c r="AM9" s="24"/>
    </row>
    <row r="10" spans="4:39" x14ac:dyDescent="0.2">
      <c r="D10" s="30">
        <v>1</v>
      </c>
      <c r="E10" s="31">
        <v>2</v>
      </c>
      <c r="F10" s="38">
        <v>3</v>
      </c>
      <c r="G10" s="38">
        <v>4</v>
      </c>
      <c r="H10" s="31">
        <v>5</v>
      </c>
      <c r="I10" s="31">
        <v>6</v>
      </c>
      <c r="J10" s="31">
        <v>7</v>
      </c>
      <c r="K10" s="31">
        <v>8</v>
      </c>
      <c r="L10" s="31">
        <v>9</v>
      </c>
      <c r="M10" s="38">
        <v>10</v>
      </c>
      <c r="N10" s="38">
        <v>11</v>
      </c>
      <c r="O10" s="31">
        <v>12</v>
      </c>
      <c r="P10" s="31">
        <v>13</v>
      </c>
      <c r="Q10" s="31">
        <v>14</v>
      </c>
      <c r="R10" s="31">
        <v>15</v>
      </c>
      <c r="S10" s="31">
        <v>16</v>
      </c>
      <c r="T10" s="38">
        <v>17</v>
      </c>
      <c r="U10" s="38">
        <v>18</v>
      </c>
      <c r="V10" s="31">
        <v>19</v>
      </c>
      <c r="W10" s="31">
        <v>20</v>
      </c>
      <c r="X10" s="31">
        <v>21</v>
      </c>
      <c r="Y10" s="31">
        <v>22</v>
      </c>
      <c r="Z10" s="31">
        <v>23</v>
      </c>
      <c r="AA10" s="38">
        <v>24</v>
      </c>
      <c r="AB10" s="38">
        <v>25</v>
      </c>
      <c r="AC10" s="31">
        <v>26</v>
      </c>
      <c r="AD10" s="31">
        <v>27</v>
      </c>
      <c r="AE10" s="31">
        <v>28</v>
      </c>
      <c r="AF10" s="31">
        <v>29</v>
      </c>
      <c r="AG10" s="31">
        <v>30</v>
      </c>
      <c r="AH10" s="40">
        <v>31</v>
      </c>
      <c r="AK10" s="47"/>
      <c r="AL10" s="23"/>
      <c r="AM10" s="24"/>
    </row>
    <row r="11" spans="4:39" x14ac:dyDescent="0.2">
      <c r="D11" s="223" t="s">
        <v>5</v>
      </c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6"/>
      <c r="AB11" s="227" t="s">
        <v>37</v>
      </c>
      <c r="AC11" s="228"/>
      <c r="AD11" s="228"/>
      <c r="AE11" s="228"/>
      <c r="AF11" s="228"/>
      <c r="AG11" s="228"/>
      <c r="AH11" s="229"/>
      <c r="AK11" s="47"/>
      <c r="AL11" s="23"/>
      <c r="AM11" s="24"/>
    </row>
    <row r="12" spans="4:39" ht="15.75" thickBot="1" x14ac:dyDescent="0.25">
      <c r="D12" s="30"/>
      <c r="E12" s="31"/>
      <c r="F12" s="38"/>
      <c r="G12" s="38"/>
      <c r="H12" s="31"/>
      <c r="I12" s="31"/>
      <c r="J12" s="31"/>
      <c r="K12" s="31"/>
      <c r="L12" s="31"/>
      <c r="M12" s="38"/>
      <c r="N12" s="38"/>
      <c r="O12" s="31"/>
      <c r="P12" s="31"/>
      <c r="Q12" s="31"/>
      <c r="R12" s="31"/>
      <c r="S12" s="31"/>
      <c r="T12" s="38"/>
      <c r="U12" s="38"/>
      <c r="V12" s="31"/>
      <c r="W12" s="31"/>
      <c r="X12" s="31"/>
      <c r="Y12" s="31"/>
      <c r="Z12" s="33"/>
      <c r="AA12" s="39"/>
      <c r="AB12" s="39"/>
      <c r="AC12" s="33"/>
      <c r="AD12" s="33"/>
      <c r="AE12" s="33"/>
      <c r="AF12" s="33"/>
      <c r="AG12" s="33"/>
      <c r="AH12" s="41"/>
      <c r="AK12" s="47"/>
      <c r="AL12" s="23"/>
      <c r="AM12" s="24"/>
    </row>
    <row r="13" spans="4:39" ht="15.75" thickBot="1" x14ac:dyDescent="0.25">
      <c r="D13" s="32"/>
      <c r="E13" s="33"/>
      <c r="F13" s="39"/>
      <c r="G13" s="39"/>
      <c r="H13" s="33"/>
      <c r="I13" s="33"/>
      <c r="J13" s="33"/>
      <c r="K13" s="33"/>
      <c r="L13" s="33"/>
      <c r="M13" s="39"/>
      <c r="N13" s="39"/>
      <c r="O13" s="45"/>
      <c r="P13" s="221" t="s">
        <v>8</v>
      </c>
      <c r="Q13" s="222"/>
      <c r="R13" s="222"/>
      <c r="S13" s="46"/>
      <c r="T13" s="39"/>
      <c r="U13" s="39"/>
      <c r="V13" s="33"/>
      <c r="W13" s="33"/>
      <c r="X13" s="33"/>
      <c r="Y13" s="33"/>
      <c r="Z13" s="33"/>
      <c r="AA13" s="39"/>
      <c r="AB13" s="39"/>
      <c r="AC13" s="33"/>
      <c r="AD13" s="33"/>
      <c r="AE13" s="33"/>
      <c r="AF13" s="33"/>
      <c r="AG13" s="33"/>
      <c r="AH13" s="41"/>
      <c r="AK13" s="47"/>
      <c r="AL13" s="23"/>
      <c r="AM13" s="29">
        <v>7</v>
      </c>
    </row>
    <row r="14" spans="4:39" ht="15.75" thickBot="1" x14ac:dyDescent="0.25">
      <c r="AK14" s="47"/>
      <c r="AL14" s="23"/>
      <c r="AM14" s="24"/>
    </row>
    <row r="15" spans="4:39" x14ac:dyDescent="0.2">
      <c r="D15" s="194">
        <v>46054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6"/>
      <c r="AK15" s="47">
        <f>SUM(AK8+2.5-AM13)</f>
        <v>66</v>
      </c>
      <c r="AL15" s="23"/>
      <c r="AM15" s="24"/>
    </row>
    <row r="16" spans="4:39" x14ac:dyDescent="0.2">
      <c r="D16" s="42">
        <v>1</v>
      </c>
      <c r="E16" s="1">
        <v>2</v>
      </c>
      <c r="F16" s="1">
        <v>3</v>
      </c>
      <c r="G16" s="1">
        <v>4</v>
      </c>
      <c r="H16" s="31">
        <v>5</v>
      </c>
      <c r="I16" s="31">
        <v>6</v>
      </c>
      <c r="J16" s="38">
        <v>7</v>
      </c>
      <c r="K16" s="38">
        <v>8</v>
      </c>
      <c r="L16" s="31">
        <v>9</v>
      </c>
      <c r="M16" s="31">
        <v>10</v>
      </c>
      <c r="N16" s="31">
        <v>11</v>
      </c>
      <c r="O16" s="31">
        <v>12</v>
      </c>
      <c r="P16" s="31">
        <v>13</v>
      </c>
      <c r="Q16" s="38">
        <v>14</v>
      </c>
      <c r="R16" s="38">
        <v>15</v>
      </c>
      <c r="S16" s="31">
        <v>16</v>
      </c>
      <c r="T16" s="31">
        <v>17</v>
      </c>
      <c r="U16" s="31">
        <v>18</v>
      </c>
      <c r="V16" s="31">
        <v>19</v>
      </c>
      <c r="W16" s="31">
        <v>20</v>
      </c>
      <c r="X16" s="38">
        <v>21</v>
      </c>
      <c r="Y16" s="38">
        <v>22</v>
      </c>
      <c r="Z16" s="31">
        <v>23</v>
      </c>
      <c r="AA16" s="31">
        <v>24</v>
      </c>
      <c r="AB16" s="31">
        <v>25</v>
      </c>
      <c r="AC16" s="31">
        <v>26</v>
      </c>
      <c r="AD16" s="31">
        <v>27</v>
      </c>
      <c r="AE16" s="38">
        <v>28</v>
      </c>
      <c r="AF16" s="38">
        <v>29</v>
      </c>
      <c r="AG16" s="1"/>
      <c r="AH16" s="5"/>
      <c r="AK16" s="47"/>
      <c r="AL16" s="23"/>
      <c r="AM16" s="24"/>
    </row>
    <row r="17" spans="4:41" x14ac:dyDescent="0.2">
      <c r="D17" s="18"/>
      <c r="E17" s="233" t="s">
        <v>5</v>
      </c>
      <c r="F17" s="224"/>
      <c r="G17" s="224"/>
      <c r="H17" s="224"/>
      <c r="I17" s="224"/>
      <c r="J17" s="224"/>
      <c r="K17" s="224"/>
      <c r="L17" s="224"/>
      <c r="M17" s="226"/>
      <c r="N17" s="234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6"/>
      <c r="AF17" s="38"/>
      <c r="AG17" s="1"/>
      <c r="AH17" s="5"/>
      <c r="AK17" s="47"/>
      <c r="AL17" s="23"/>
      <c r="AM17" s="24"/>
    </row>
    <row r="18" spans="4:41" ht="15.75" thickBot="1" x14ac:dyDescent="0.25">
      <c r="D18" s="18" t="s">
        <v>4</v>
      </c>
      <c r="E18" s="1"/>
      <c r="F18" s="1"/>
      <c r="G18" s="1"/>
      <c r="H18" s="31"/>
      <c r="I18" s="31"/>
      <c r="J18" s="38"/>
      <c r="K18" s="38"/>
      <c r="L18" s="31"/>
      <c r="M18" s="31"/>
      <c r="N18" s="31"/>
      <c r="O18" s="31"/>
      <c r="P18" s="31"/>
      <c r="Q18" s="38"/>
      <c r="R18" s="38"/>
      <c r="S18" s="31"/>
      <c r="T18" s="31"/>
      <c r="U18" s="31"/>
      <c r="V18" s="31"/>
      <c r="W18" s="31"/>
      <c r="X18" s="38"/>
      <c r="Y18" s="237" t="s">
        <v>7</v>
      </c>
      <c r="Z18" s="238"/>
      <c r="AA18" s="238"/>
      <c r="AB18" s="238"/>
      <c r="AC18" s="238"/>
      <c r="AD18" s="238"/>
      <c r="AE18" s="238"/>
      <c r="AF18" s="110"/>
      <c r="AG18" s="1"/>
      <c r="AH18" s="5"/>
      <c r="AK18" s="47"/>
      <c r="AL18" s="23"/>
      <c r="AM18" s="24"/>
    </row>
    <row r="19" spans="4:41" ht="15.75" thickBot="1" x14ac:dyDescent="0.25">
      <c r="D19" s="19"/>
      <c r="E19" s="7"/>
      <c r="F19" s="7"/>
      <c r="G19" s="7"/>
      <c r="H19" s="33"/>
      <c r="I19" s="33"/>
      <c r="J19" s="39"/>
      <c r="K19" s="39"/>
      <c r="L19" s="22" t="s">
        <v>9</v>
      </c>
      <c r="M19" s="33"/>
      <c r="N19" s="33"/>
      <c r="O19" s="33"/>
      <c r="P19" s="33"/>
      <c r="Q19" s="39"/>
      <c r="R19" s="39"/>
      <c r="S19" s="33"/>
      <c r="T19" s="33"/>
      <c r="U19" s="33"/>
      <c r="V19" s="33"/>
      <c r="W19" s="33"/>
      <c r="X19" s="39"/>
      <c r="Y19" s="39"/>
      <c r="Z19" s="33"/>
      <c r="AA19" s="33"/>
      <c r="AB19" s="33"/>
      <c r="AC19" s="33"/>
      <c r="AD19" s="33"/>
      <c r="AE19" s="39"/>
      <c r="AF19" s="39"/>
      <c r="AG19" s="7"/>
      <c r="AH19" s="8"/>
      <c r="AK19" s="47"/>
      <c r="AL19" s="23"/>
      <c r="AM19" s="29">
        <v>1</v>
      </c>
    </row>
    <row r="20" spans="4:41" ht="15.75" thickBot="1" x14ac:dyDescent="0.25">
      <c r="AK20" s="47"/>
      <c r="AL20" s="23"/>
      <c r="AM20" s="28"/>
    </row>
    <row r="21" spans="4:41" x14ac:dyDescent="0.2">
      <c r="D21" s="194">
        <v>46082</v>
      </c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6"/>
      <c r="AJ21" s="134" t="s">
        <v>0</v>
      </c>
      <c r="AK21" s="47">
        <f>SUM(AK15+2.5-AM19)</f>
        <v>67.5</v>
      </c>
      <c r="AL21" s="23"/>
      <c r="AM21" s="24"/>
    </row>
    <row r="22" spans="4:41" x14ac:dyDescent="0.2">
      <c r="D22" s="42">
        <v>1</v>
      </c>
      <c r="E22" s="1">
        <v>2</v>
      </c>
      <c r="F22" s="31">
        <v>3</v>
      </c>
      <c r="G22" s="31">
        <v>4</v>
      </c>
      <c r="H22" s="31">
        <v>5</v>
      </c>
      <c r="I22" s="31">
        <v>6</v>
      </c>
      <c r="J22" s="38">
        <v>7</v>
      </c>
      <c r="K22" s="38">
        <v>8</v>
      </c>
      <c r="L22" s="31">
        <v>9</v>
      </c>
      <c r="M22" s="31">
        <v>10</v>
      </c>
      <c r="N22" s="31">
        <v>11</v>
      </c>
      <c r="O22" s="31">
        <v>12</v>
      </c>
      <c r="P22" s="31">
        <v>13</v>
      </c>
      <c r="Q22" s="38">
        <v>14</v>
      </c>
      <c r="R22" s="38">
        <v>15</v>
      </c>
      <c r="S22" s="31">
        <v>16</v>
      </c>
      <c r="T22" s="31">
        <v>17</v>
      </c>
      <c r="U22" s="31">
        <v>18</v>
      </c>
      <c r="V22" s="31">
        <v>19</v>
      </c>
      <c r="W22" s="31">
        <v>20</v>
      </c>
      <c r="X22" s="38">
        <v>21</v>
      </c>
      <c r="Y22" s="38">
        <v>22</v>
      </c>
      <c r="Z22" s="31">
        <v>23</v>
      </c>
      <c r="AA22" s="31">
        <v>24</v>
      </c>
      <c r="AB22" s="31">
        <v>25</v>
      </c>
      <c r="AC22" s="31">
        <v>26</v>
      </c>
      <c r="AD22" s="31">
        <v>27</v>
      </c>
      <c r="AE22" s="38">
        <v>28</v>
      </c>
      <c r="AF22" s="38">
        <v>29</v>
      </c>
      <c r="AG22" s="31">
        <v>30</v>
      </c>
      <c r="AH22" s="34">
        <v>31</v>
      </c>
      <c r="AK22" s="47"/>
      <c r="AL22" s="23"/>
      <c r="AM22" s="24"/>
    </row>
    <row r="23" spans="4:41" x14ac:dyDescent="0.2">
      <c r="D23" s="223" t="s">
        <v>5</v>
      </c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5"/>
      <c r="AK23" s="47"/>
      <c r="AL23" s="23"/>
      <c r="AM23" s="24"/>
    </row>
    <row r="24" spans="4:41" ht="15.75" thickBot="1" x14ac:dyDescent="0.25">
      <c r="D24" s="237" t="s">
        <v>6</v>
      </c>
      <c r="E24" s="239"/>
      <c r="F24" s="239"/>
      <c r="G24" s="239"/>
      <c r="H24" s="239"/>
      <c r="I24" s="239"/>
      <c r="J24" s="239"/>
      <c r="K24" s="240"/>
      <c r="L24" s="241" t="s">
        <v>10</v>
      </c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3"/>
      <c r="X24" s="38"/>
      <c r="Y24" s="38"/>
      <c r="Z24" s="237" t="s">
        <v>13</v>
      </c>
      <c r="AA24" s="239"/>
      <c r="AB24" s="239"/>
      <c r="AC24" s="237" t="s">
        <v>14</v>
      </c>
      <c r="AD24" s="239"/>
      <c r="AE24" s="239"/>
      <c r="AF24" s="39"/>
      <c r="AG24" s="31"/>
      <c r="AH24" s="34"/>
      <c r="AK24" s="47"/>
      <c r="AL24" s="23"/>
      <c r="AM24" s="24"/>
    </row>
    <row r="25" spans="4:41" ht="15.75" thickBot="1" x14ac:dyDescent="0.25">
      <c r="D25" s="43"/>
      <c r="E25" s="7"/>
      <c r="F25" s="33"/>
      <c r="G25" s="33"/>
      <c r="H25" s="33"/>
      <c r="I25" s="33"/>
      <c r="J25" s="39"/>
      <c r="K25" s="39"/>
      <c r="L25" s="33"/>
      <c r="M25" s="33"/>
      <c r="N25" s="33"/>
      <c r="O25" s="33"/>
      <c r="P25" s="33"/>
      <c r="Q25" s="39"/>
      <c r="R25" s="39"/>
      <c r="S25" s="33"/>
      <c r="T25" s="33"/>
      <c r="U25" s="33"/>
      <c r="V25" s="33"/>
      <c r="W25" s="33"/>
      <c r="X25" s="39"/>
      <c r="Y25" s="39"/>
      <c r="Z25" s="33"/>
      <c r="AA25" s="33"/>
      <c r="AB25" s="33"/>
      <c r="AC25" s="33"/>
      <c r="AD25" s="33"/>
      <c r="AE25" s="39"/>
      <c r="AF25" s="39"/>
      <c r="AG25" s="33"/>
      <c r="AH25" s="35"/>
      <c r="AK25" s="47"/>
      <c r="AL25" s="23"/>
      <c r="AM25" s="29">
        <v>0</v>
      </c>
    </row>
    <row r="26" spans="4:41" ht="30" thickBot="1" x14ac:dyDescent="0.4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K26" s="47"/>
      <c r="AL26" s="23"/>
      <c r="AM26" s="28"/>
      <c r="AO26" s="126" t="s">
        <v>42</v>
      </c>
    </row>
    <row r="27" spans="4:41" ht="30" thickBot="1" x14ac:dyDescent="0.45">
      <c r="D27" s="190">
        <v>46113</v>
      </c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2"/>
      <c r="AG27" s="192"/>
      <c r="AH27" s="193"/>
      <c r="AJ27" s="134" t="s">
        <v>50</v>
      </c>
      <c r="AK27" s="47">
        <v>69</v>
      </c>
      <c r="AL27" s="23"/>
      <c r="AM27" s="24"/>
      <c r="AO27" s="126">
        <v>23</v>
      </c>
    </row>
    <row r="28" spans="4:41" ht="29.25" x14ac:dyDescent="0.4">
      <c r="D28" s="36">
        <v>1</v>
      </c>
      <c r="E28" s="37">
        <v>2</v>
      </c>
      <c r="F28" s="37">
        <v>3</v>
      </c>
      <c r="G28" s="44">
        <v>4</v>
      </c>
      <c r="H28" s="44">
        <v>5</v>
      </c>
      <c r="I28" s="37">
        <v>6</v>
      </c>
      <c r="J28" s="37">
        <v>7</v>
      </c>
      <c r="K28" s="37">
        <v>8</v>
      </c>
      <c r="L28" s="37">
        <v>9</v>
      </c>
      <c r="M28" s="37">
        <v>10</v>
      </c>
      <c r="N28" s="44">
        <v>11</v>
      </c>
      <c r="O28" s="44">
        <v>12</v>
      </c>
      <c r="P28" s="37">
        <v>13</v>
      </c>
      <c r="Q28" s="37">
        <v>14</v>
      </c>
      <c r="R28" s="37">
        <v>15</v>
      </c>
      <c r="S28" s="37">
        <v>16</v>
      </c>
      <c r="T28" s="37">
        <v>17</v>
      </c>
      <c r="U28" s="44">
        <v>18</v>
      </c>
      <c r="V28" s="44">
        <v>19</v>
      </c>
      <c r="W28" s="37">
        <v>20</v>
      </c>
      <c r="X28" s="37">
        <v>21</v>
      </c>
      <c r="Y28" s="37">
        <v>22</v>
      </c>
      <c r="Z28" s="37">
        <v>23</v>
      </c>
      <c r="AA28" s="37">
        <v>24</v>
      </c>
      <c r="AB28" s="44">
        <v>25</v>
      </c>
      <c r="AC28" s="44">
        <v>26</v>
      </c>
      <c r="AD28" s="37">
        <v>27</v>
      </c>
      <c r="AE28" s="37">
        <v>28</v>
      </c>
      <c r="AF28" s="37">
        <v>29</v>
      </c>
      <c r="AG28" s="2">
        <v>30</v>
      </c>
      <c r="AH28" s="3"/>
      <c r="AK28" s="47"/>
      <c r="AL28" s="23"/>
      <c r="AM28" s="24"/>
      <c r="AO28" s="126"/>
    </row>
    <row r="29" spans="4:41" ht="29.25" customHeight="1" x14ac:dyDescent="0.4">
      <c r="D29" s="230" t="s">
        <v>19</v>
      </c>
      <c r="E29" s="231"/>
      <c r="F29" s="232"/>
      <c r="G29" s="223" t="s">
        <v>5</v>
      </c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6"/>
      <c r="AH29" s="71"/>
      <c r="AK29" s="47"/>
      <c r="AL29" s="23"/>
      <c r="AM29" s="24"/>
      <c r="AO29" s="126"/>
    </row>
    <row r="30" spans="4:41" ht="30" thickBot="1" x14ac:dyDescent="0.45">
      <c r="D30" s="30"/>
      <c r="E30" s="31"/>
      <c r="F30" s="31"/>
      <c r="G30" s="38"/>
      <c r="H30" s="38"/>
      <c r="I30" s="31"/>
      <c r="J30" s="31"/>
      <c r="K30" s="31"/>
      <c r="L30" s="31"/>
      <c r="M30" s="31"/>
      <c r="N30" s="38"/>
      <c r="O30" s="38"/>
      <c r="P30" s="31"/>
      <c r="Q30" s="31"/>
      <c r="R30" s="31"/>
      <c r="S30" s="31"/>
      <c r="T30" s="31"/>
      <c r="U30" s="38"/>
      <c r="V30" s="38"/>
      <c r="W30" s="33"/>
      <c r="X30" s="33"/>
      <c r="Y30" s="33"/>
      <c r="Z30" s="33"/>
      <c r="AA30" s="33"/>
      <c r="AB30" s="39"/>
      <c r="AC30" s="39"/>
      <c r="AD30" s="33"/>
      <c r="AE30" s="33"/>
      <c r="AF30" s="33"/>
      <c r="AG30" s="7"/>
      <c r="AH30" s="8"/>
      <c r="AK30" s="47"/>
      <c r="AL30" s="23"/>
      <c r="AM30" s="24"/>
      <c r="AO30" s="126"/>
    </row>
    <row r="31" spans="4:41" ht="30" thickBot="1" x14ac:dyDescent="0.45">
      <c r="D31" s="32"/>
      <c r="E31" s="33"/>
      <c r="F31" s="33"/>
      <c r="G31" s="39"/>
      <c r="H31" s="39"/>
      <c r="I31" s="33"/>
      <c r="J31" s="33"/>
      <c r="K31" s="33"/>
      <c r="L31" s="33"/>
      <c r="M31" s="33"/>
      <c r="N31" s="39"/>
      <c r="O31" s="39"/>
      <c r="P31" s="33"/>
      <c r="Q31" s="33"/>
      <c r="R31" s="33"/>
      <c r="S31" s="33"/>
      <c r="T31" s="33"/>
      <c r="U31" s="39"/>
      <c r="V31" s="39"/>
      <c r="W31" s="33"/>
      <c r="X31" s="33"/>
      <c r="Y31" s="33"/>
      <c r="Z31" s="33"/>
      <c r="AA31" s="33"/>
      <c r="AB31" s="39"/>
      <c r="AC31" s="39"/>
      <c r="AD31" s="33"/>
      <c r="AE31" s="33"/>
      <c r="AF31" s="33"/>
      <c r="AG31" s="7"/>
      <c r="AH31" s="8"/>
      <c r="AK31" s="47"/>
      <c r="AL31" s="23"/>
      <c r="AM31" s="29">
        <v>3</v>
      </c>
      <c r="AO31" s="126">
        <f>SUM(AO27-AM31)</f>
        <v>20</v>
      </c>
    </row>
    <row r="32" spans="4:41" ht="30" thickBot="1" x14ac:dyDescent="0.45">
      <c r="AK32" s="47"/>
      <c r="AL32" s="23"/>
      <c r="AM32" s="24"/>
      <c r="AO32" s="126"/>
    </row>
    <row r="33" spans="2:41" ht="29.25" x14ac:dyDescent="0.4">
      <c r="D33" s="194">
        <v>46143</v>
      </c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6"/>
      <c r="AJ33" s="134" t="s">
        <v>51</v>
      </c>
      <c r="AK33" s="47">
        <v>68</v>
      </c>
      <c r="AL33" s="23"/>
      <c r="AM33" s="24"/>
      <c r="AO33" s="126"/>
    </row>
    <row r="34" spans="2:41" ht="29.25" x14ac:dyDescent="0.4">
      <c r="D34" s="4">
        <v>1</v>
      </c>
      <c r="E34" s="38">
        <v>2</v>
      </c>
      <c r="F34" s="38">
        <v>3</v>
      </c>
      <c r="G34" s="31">
        <v>4</v>
      </c>
      <c r="H34" s="31">
        <v>5</v>
      </c>
      <c r="I34" s="31">
        <v>6</v>
      </c>
      <c r="J34" s="31">
        <v>7</v>
      </c>
      <c r="K34" s="31">
        <v>8</v>
      </c>
      <c r="L34" s="38">
        <v>9</v>
      </c>
      <c r="M34" s="38">
        <v>10</v>
      </c>
      <c r="N34" s="31">
        <v>11</v>
      </c>
      <c r="O34" s="31">
        <v>12</v>
      </c>
      <c r="P34" s="31">
        <v>13</v>
      </c>
      <c r="Q34" s="31">
        <v>14</v>
      </c>
      <c r="R34" s="31">
        <v>15</v>
      </c>
      <c r="S34" s="38">
        <v>16</v>
      </c>
      <c r="T34" s="38">
        <v>17</v>
      </c>
      <c r="U34" s="31">
        <v>18</v>
      </c>
      <c r="V34" s="31">
        <v>19</v>
      </c>
      <c r="W34" s="31">
        <v>20</v>
      </c>
      <c r="X34" s="31">
        <v>21</v>
      </c>
      <c r="Y34" s="31">
        <v>22</v>
      </c>
      <c r="Z34" s="38">
        <v>23</v>
      </c>
      <c r="AA34" s="38">
        <v>24</v>
      </c>
      <c r="AB34" s="31">
        <v>25</v>
      </c>
      <c r="AC34" s="31">
        <v>26</v>
      </c>
      <c r="AD34" s="31">
        <v>27</v>
      </c>
      <c r="AE34" s="31">
        <v>28</v>
      </c>
      <c r="AF34" s="31">
        <v>29</v>
      </c>
      <c r="AG34" s="38">
        <v>30</v>
      </c>
      <c r="AH34" s="40">
        <v>31</v>
      </c>
      <c r="AK34" s="47"/>
      <c r="AL34" s="23"/>
      <c r="AM34" s="24"/>
      <c r="AO34" s="126"/>
    </row>
    <row r="35" spans="2:41" ht="29.25" x14ac:dyDescent="0.4">
      <c r="D35" s="223" t="s">
        <v>5</v>
      </c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5"/>
      <c r="AK35" s="47"/>
      <c r="AL35" s="23"/>
      <c r="AM35" s="24"/>
      <c r="AO35" s="126"/>
    </row>
    <row r="36" spans="2:41" ht="30" thickBot="1" x14ac:dyDescent="0.45">
      <c r="D36" s="4"/>
      <c r="E36" s="38"/>
      <c r="F36" s="38"/>
      <c r="G36" s="31"/>
      <c r="H36" s="31"/>
      <c r="I36" s="31"/>
      <c r="J36" s="31"/>
      <c r="K36" s="31"/>
      <c r="L36" s="38"/>
      <c r="M36" s="38"/>
      <c r="N36" s="31"/>
      <c r="O36" s="31"/>
      <c r="P36" s="31"/>
      <c r="Q36" s="31"/>
      <c r="R36" s="31"/>
      <c r="S36" s="38"/>
      <c r="T36" s="38"/>
      <c r="U36" s="31"/>
      <c r="V36" s="31"/>
      <c r="W36" s="31"/>
      <c r="X36" s="31"/>
      <c r="Y36" s="31"/>
      <c r="Z36" s="38"/>
      <c r="AA36" s="38"/>
      <c r="AB36" s="31"/>
      <c r="AC36" s="31"/>
      <c r="AD36" s="31"/>
      <c r="AE36" s="31"/>
      <c r="AF36" s="31"/>
      <c r="AG36" s="38"/>
      <c r="AH36" s="40"/>
      <c r="AK36" s="47"/>
      <c r="AL36" s="23"/>
      <c r="AM36" s="24"/>
      <c r="AO36" s="126"/>
    </row>
    <row r="37" spans="2:41" ht="30" thickBot="1" x14ac:dyDescent="0.45">
      <c r="D37" s="6"/>
      <c r="E37" s="39"/>
      <c r="F37" s="39"/>
      <c r="G37" s="33"/>
      <c r="H37" s="33"/>
      <c r="I37" s="33"/>
      <c r="J37" s="33"/>
      <c r="K37" s="33"/>
      <c r="L37" s="39"/>
      <c r="M37" s="39"/>
      <c r="N37" s="33"/>
      <c r="O37" s="33"/>
      <c r="P37" s="33"/>
      <c r="Q37" s="33"/>
      <c r="R37" s="33"/>
      <c r="S37" s="39"/>
      <c r="T37" s="39"/>
      <c r="U37" s="33"/>
      <c r="V37" s="33"/>
      <c r="W37" s="33"/>
      <c r="X37" s="33"/>
      <c r="Y37" s="33"/>
      <c r="Z37" s="39"/>
      <c r="AA37" s="39"/>
      <c r="AB37" s="33"/>
      <c r="AC37" s="33"/>
      <c r="AD37" s="33"/>
      <c r="AE37" s="33"/>
      <c r="AF37" s="33"/>
      <c r="AG37" s="39"/>
      <c r="AH37" s="41"/>
      <c r="AK37" s="47"/>
      <c r="AL37" s="23"/>
      <c r="AM37" s="29">
        <v>0</v>
      </c>
      <c r="AO37" s="126">
        <f>SUM(AO31-AM37)</f>
        <v>20</v>
      </c>
    </row>
    <row r="38" spans="2:41" ht="30" thickBot="1" x14ac:dyDescent="0.4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K38" s="47"/>
      <c r="AL38" s="23"/>
      <c r="AM38" s="24"/>
      <c r="AO38" s="126"/>
    </row>
    <row r="39" spans="2:41" ht="30" thickBot="1" x14ac:dyDescent="0.45">
      <c r="D39" s="190">
        <v>46174</v>
      </c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2"/>
      <c r="AG39" s="192"/>
      <c r="AH39" s="193"/>
      <c r="AJ39" s="134" t="s">
        <v>52</v>
      </c>
      <c r="AK39" s="47">
        <f>SUM(AK33+2.5-AM37)</f>
        <v>70.5</v>
      </c>
      <c r="AL39" s="23"/>
      <c r="AM39" s="24"/>
      <c r="AO39" s="126"/>
    </row>
    <row r="40" spans="2:41" ht="29.25" x14ac:dyDescent="0.4">
      <c r="D40" s="36">
        <v>1</v>
      </c>
      <c r="E40" s="37">
        <v>2</v>
      </c>
      <c r="F40" s="37">
        <v>3</v>
      </c>
      <c r="G40" s="37">
        <v>4</v>
      </c>
      <c r="H40" s="37">
        <v>5</v>
      </c>
      <c r="I40" s="44">
        <v>6</v>
      </c>
      <c r="J40" s="44">
        <v>7</v>
      </c>
      <c r="K40" s="37">
        <v>8</v>
      </c>
      <c r="L40" s="37">
        <v>9</v>
      </c>
      <c r="M40" s="37">
        <v>10</v>
      </c>
      <c r="N40" s="37">
        <v>11</v>
      </c>
      <c r="O40" s="37">
        <v>12</v>
      </c>
      <c r="P40" s="44">
        <v>13</v>
      </c>
      <c r="Q40" s="44">
        <v>14</v>
      </c>
      <c r="R40" s="37">
        <v>15</v>
      </c>
      <c r="S40" s="37">
        <v>16</v>
      </c>
      <c r="T40" s="37">
        <v>17</v>
      </c>
      <c r="U40" s="37">
        <v>18</v>
      </c>
      <c r="V40" s="37">
        <v>19</v>
      </c>
      <c r="W40" s="44">
        <v>20</v>
      </c>
      <c r="X40" s="44">
        <v>21</v>
      </c>
      <c r="Y40" s="37">
        <v>22</v>
      </c>
      <c r="Z40" s="37">
        <v>23</v>
      </c>
      <c r="AA40" s="37">
        <v>24</v>
      </c>
      <c r="AB40" s="37">
        <v>25</v>
      </c>
      <c r="AC40" s="37">
        <v>26</v>
      </c>
      <c r="AD40" s="44">
        <v>27</v>
      </c>
      <c r="AE40" s="44">
        <v>28</v>
      </c>
      <c r="AF40" s="37">
        <v>29</v>
      </c>
      <c r="AG40" s="2">
        <v>30</v>
      </c>
      <c r="AH40" s="3"/>
      <c r="AK40" s="47"/>
      <c r="AL40" s="23"/>
      <c r="AM40" s="24"/>
      <c r="AO40" s="126"/>
    </row>
    <row r="41" spans="2:41" ht="29.25" x14ac:dyDescent="0.4">
      <c r="D41" s="230" t="s">
        <v>88</v>
      </c>
      <c r="E41" s="231"/>
      <c r="F41" s="231"/>
      <c r="G41" s="231"/>
      <c r="H41" s="145"/>
      <c r="I41" s="223" t="s">
        <v>5</v>
      </c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6"/>
      <c r="AH41" s="5"/>
      <c r="AK41" s="47"/>
      <c r="AL41" s="23"/>
      <c r="AM41" s="24"/>
      <c r="AO41" s="126"/>
    </row>
    <row r="42" spans="2:41" ht="30" thickBot="1" x14ac:dyDescent="0.45">
      <c r="D42" s="30"/>
      <c r="E42" s="31"/>
      <c r="F42" s="31"/>
      <c r="G42" s="31"/>
      <c r="H42" s="31"/>
      <c r="I42" s="38"/>
      <c r="J42" s="38"/>
      <c r="K42" s="31"/>
      <c r="L42" s="31"/>
      <c r="M42" s="87" t="str">
        <f>(D140)</f>
        <v>VA Individual Appointments</v>
      </c>
      <c r="N42" s="31"/>
      <c r="O42" s="31"/>
      <c r="P42" s="38"/>
      <c r="Q42" s="38"/>
      <c r="R42" s="31"/>
      <c r="S42" s="31"/>
      <c r="T42" s="31"/>
      <c r="U42" s="31"/>
      <c r="V42" s="31"/>
      <c r="W42" s="38"/>
      <c r="X42" s="38"/>
      <c r="Y42" s="31"/>
      <c r="Z42" s="31"/>
      <c r="AA42" s="31"/>
      <c r="AB42" s="31"/>
      <c r="AC42" s="31"/>
      <c r="AD42" s="38"/>
      <c r="AE42" s="38"/>
      <c r="AF42" s="31"/>
      <c r="AG42" s="1"/>
      <c r="AH42" s="5"/>
      <c r="AK42" s="47"/>
      <c r="AL42" s="23"/>
      <c r="AM42" s="24"/>
      <c r="AO42" s="126"/>
    </row>
    <row r="43" spans="2:41" ht="30" thickBot="1" x14ac:dyDescent="0.45">
      <c r="D43" s="32"/>
      <c r="E43" s="33"/>
      <c r="F43" s="33"/>
      <c r="G43" s="33"/>
      <c r="H43" s="33"/>
      <c r="I43" s="39"/>
      <c r="J43" s="39"/>
      <c r="K43" s="33"/>
      <c r="L43" s="33"/>
      <c r="M43" s="33"/>
      <c r="N43" s="33"/>
      <c r="O43" s="33"/>
      <c r="P43" s="39"/>
      <c r="Q43" s="39"/>
      <c r="R43" s="33"/>
      <c r="S43" s="33"/>
      <c r="T43" s="33"/>
      <c r="U43" s="33"/>
      <c r="V43" s="143" t="s">
        <v>91</v>
      </c>
      <c r="W43" s="127" t="s">
        <v>43</v>
      </c>
      <c r="X43" s="39"/>
      <c r="Y43" s="33"/>
      <c r="Z43" s="33"/>
      <c r="AA43" s="33"/>
      <c r="AB43" s="33"/>
      <c r="AC43" s="33"/>
      <c r="AD43" s="39"/>
      <c r="AE43" s="39"/>
      <c r="AF43" s="33"/>
      <c r="AG43" s="7"/>
      <c r="AH43" s="8"/>
      <c r="AK43" s="47"/>
      <c r="AL43" s="23"/>
      <c r="AM43" s="29">
        <v>5</v>
      </c>
      <c r="AO43" s="126">
        <f>SUM(AO37-AM43)</f>
        <v>15</v>
      </c>
    </row>
    <row r="44" spans="2:41" ht="30" thickBot="1" x14ac:dyDescent="0.45"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6"/>
      <c r="AJ44" s="106"/>
      <c r="AK44" s="107"/>
      <c r="AL44" s="108"/>
      <c r="AM44" s="109"/>
      <c r="AO44" s="126"/>
    </row>
    <row r="45" spans="2:41" ht="29.25" x14ac:dyDescent="0.4">
      <c r="B45" s="244" t="s">
        <v>39</v>
      </c>
      <c r="C45" s="244"/>
      <c r="D45" s="194">
        <v>46204</v>
      </c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6"/>
      <c r="AJ45" s="134" t="s">
        <v>53</v>
      </c>
      <c r="AK45" s="47">
        <f>SUM(AK39+2.5-AM43)</f>
        <v>68</v>
      </c>
      <c r="AL45" s="23"/>
      <c r="AM45" s="24"/>
      <c r="AO45" s="126"/>
    </row>
    <row r="46" spans="2:41" ht="29.25" x14ac:dyDescent="0.4">
      <c r="B46" s="244"/>
      <c r="C46" s="244"/>
      <c r="D46" s="4">
        <v>1</v>
      </c>
      <c r="E46" s="1">
        <v>2</v>
      </c>
      <c r="F46" s="1">
        <v>3</v>
      </c>
      <c r="G46" s="10">
        <v>4</v>
      </c>
      <c r="H46" s="10">
        <v>5</v>
      </c>
      <c r="I46" s="1">
        <v>6</v>
      </c>
      <c r="J46" s="1">
        <v>7</v>
      </c>
      <c r="K46" s="1">
        <v>8</v>
      </c>
      <c r="L46" s="1">
        <v>9</v>
      </c>
      <c r="M46" s="1">
        <v>10</v>
      </c>
      <c r="N46" s="10">
        <v>11</v>
      </c>
      <c r="O46" s="10">
        <v>12</v>
      </c>
      <c r="P46" s="1">
        <v>13</v>
      </c>
      <c r="Q46" s="1">
        <v>14</v>
      </c>
      <c r="R46" s="1">
        <v>15</v>
      </c>
      <c r="S46" s="1">
        <v>16</v>
      </c>
      <c r="T46" s="1">
        <v>17</v>
      </c>
      <c r="U46" s="10">
        <v>18</v>
      </c>
      <c r="V46" s="10">
        <v>19</v>
      </c>
      <c r="W46" s="1">
        <v>20</v>
      </c>
      <c r="X46" s="1">
        <v>21</v>
      </c>
      <c r="Y46" s="1">
        <v>22</v>
      </c>
      <c r="Z46" s="1">
        <v>23</v>
      </c>
      <c r="AA46" s="1">
        <v>24</v>
      </c>
      <c r="AB46" s="10">
        <v>25</v>
      </c>
      <c r="AC46" s="10">
        <v>26</v>
      </c>
      <c r="AD46" s="1">
        <v>27</v>
      </c>
      <c r="AE46" s="1">
        <v>28</v>
      </c>
      <c r="AF46" s="1">
        <v>29</v>
      </c>
      <c r="AG46" s="1">
        <v>30</v>
      </c>
      <c r="AH46" s="5">
        <v>31</v>
      </c>
      <c r="AK46" s="47"/>
      <c r="AL46" s="23"/>
      <c r="AM46" s="24"/>
      <c r="AO46" s="126"/>
    </row>
    <row r="47" spans="2:41" ht="29.25" x14ac:dyDescent="0.4">
      <c r="B47" s="244"/>
      <c r="C47" s="244"/>
      <c r="D47" s="223" t="s">
        <v>5</v>
      </c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5"/>
      <c r="AK47" s="47"/>
      <c r="AL47" s="23"/>
      <c r="AM47" s="24"/>
      <c r="AO47" s="126"/>
    </row>
    <row r="48" spans="2:41" ht="30" thickBot="1" x14ac:dyDescent="0.45">
      <c r="B48" s="244"/>
      <c r="C48" s="244"/>
      <c r="D48" s="4"/>
      <c r="E48" s="1"/>
      <c r="F48" s="1"/>
      <c r="G48" s="10"/>
      <c r="H48" s="10"/>
      <c r="I48" s="1"/>
      <c r="J48" s="90" t="str">
        <f>(D133)</f>
        <v>Pre Separation Brief</v>
      </c>
      <c r="K48" s="1"/>
      <c r="L48" s="1"/>
      <c r="M48" s="1"/>
      <c r="N48" s="10"/>
      <c r="O48" s="10"/>
      <c r="P48" s="245" t="str">
        <f>(D134)</f>
        <v>Three-Day Transition Workshop</v>
      </c>
      <c r="Q48" s="246"/>
      <c r="R48" s="247"/>
      <c r="S48" s="248" t="str">
        <f>(D137)</f>
        <v>Employment 2 Day Seminar</v>
      </c>
      <c r="T48" s="249"/>
      <c r="U48" s="10"/>
      <c r="V48" s="10"/>
      <c r="W48" s="250" t="str">
        <f>(D135)</f>
        <v>Entrepreneurship 2-Day Seminar</v>
      </c>
      <c r="X48" s="251"/>
      <c r="Y48" s="1"/>
      <c r="Z48" s="1"/>
      <c r="AA48" s="1"/>
      <c r="AB48" s="10"/>
      <c r="AC48" s="10"/>
      <c r="AD48" s="1"/>
      <c r="AE48" s="90" t="str">
        <f>(D133)</f>
        <v>Pre Separation Brief</v>
      </c>
      <c r="AF48" s="1"/>
      <c r="AG48" s="259" t="str">
        <f>(D136)</f>
        <v>Career &amp; Credential Exploration 2 Day Seminar</v>
      </c>
      <c r="AH48" s="260"/>
      <c r="AK48" s="47"/>
      <c r="AL48" s="23"/>
      <c r="AM48" s="24"/>
      <c r="AO48" s="126"/>
    </row>
    <row r="49" spans="2:94" ht="30" thickBot="1" x14ac:dyDescent="0.45">
      <c r="B49" s="244"/>
      <c r="C49" s="244"/>
      <c r="D49" s="6"/>
      <c r="E49" s="7"/>
      <c r="F49" s="22" t="s">
        <v>3</v>
      </c>
      <c r="G49" s="11"/>
      <c r="H49" s="11"/>
      <c r="I49" s="7"/>
      <c r="J49" s="7"/>
      <c r="K49" s="7"/>
      <c r="L49" s="7"/>
      <c r="M49" s="7"/>
      <c r="N49" s="11"/>
      <c r="O49" s="11"/>
      <c r="P49" s="7"/>
      <c r="Q49" s="7"/>
      <c r="R49" s="87" t="str">
        <f>(D140)</f>
        <v>VA Individual Appointments</v>
      </c>
      <c r="S49" s="76"/>
      <c r="T49" s="77"/>
      <c r="U49" s="11"/>
      <c r="V49" s="11"/>
      <c r="W49" s="7"/>
      <c r="X49" s="7"/>
      <c r="Y49" s="7"/>
      <c r="Z49" s="7"/>
      <c r="AA49" s="7"/>
      <c r="AB49" s="11"/>
      <c r="AC49" s="11"/>
      <c r="AD49" s="66" t="s">
        <v>16</v>
      </c>
      <c r="AE49" s="7"/>
      <c r="AF49" s="7"/>
      <c r="AG49" s="7"/>
      <c r="AH49" s="66" t="s">
        <v>15</v>
      </c>
      <c r="AK49" s="47"/>
      <c r="AL49" s="23"/>
      <c r="AM49" s="29">
        <v>0</v>
      </c>
      <c r="AO49" s="126">
        <f>SUM(AO43-AM49)</f>
        <v>15</v>
      </c>
    </row>
    <row r="50" spans="2:94" ht="30" thickBot="1" x14ac:dyDescent="0.45">
      <c r="B50" s="244"/>
      <c r="C50" s="244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7"/>
      <c r="AO50" s="126"/>
    </row>
    <row r="51" spans="2:94" ht="29.25" x14ac:dyDescent="0.4">
      <c r="B51" s="244"/>
      <c r="C51" s="244"/>
      <c r="D51" s="194">
        <v>46235</v>
      </c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6"/>
      <c r="AJ51" s="134" t="s">
        <v>54</v>
      </c>
      <c r="AK51" s="47">
        <f>SUM(AK45+2.5-AM49)</f>
        <v>70.5</v>
      </c>
      <c r="AL51" s="23"/>
      <c r="AM51" s="24"/>
      <c r="AO51" s="126"/>
    </row>
    <row r="52" spans="2:94" ht="29.25" x14ac:dyDescent="0.4">
      <c r="B52" s="244"/>
      <c r="C52" s="244"/>
      <c r="D52" s="12">
        <v>1</v>
      </c>
      <c r="E52" s="10">
        <v>2</v>
      </c>
      <c r="F52" s="1">
        <v>3</v>
      </c>
      <c r="G52" s="1">
        <v>4</v>
      </c>
      <c r="H52" s="1">
        <v>5</v>
      </c>
      <c r="I52" s="1">
        <v>6</v>
      </c>
      <c r="J52" s="1">
        <v>7</v>
      </c>
      <c r="K52" s="10">
        <v>8</v>
      </c>
      <c r="L52" s="10">
        <v>9</v>
      </c>
      <c r="M52" s="1">
        <v>10</v>
      </c>
      <c r="N52" s="1">
        <v>11</v>
      </c>
      <c r="O52" s="1">
        <v>12</v>
      </c>
      <c r="P52" s="1">
        <v>13</v>
      </c>
      <c r="Q52" s="1">
        <v>14</v>
      </c>
      <c r="R52" s="10">
        <v>15</v>
      </c>
      <c r="S52" s="10">
        <v>16</v>
      </c>
      <c r="T52" s="1">
        <v>17</v>
      </c>
      <c r="U52" s="1">
        <v>18</v>
      </c>
      <c r="V52" s="1">
        <v>19</v>
      </c>
      <c r="W52" s="1">
        <v>20</v>
      </c>
      <c r="X52" s="1">
        <v>21</v>
      </c>
      <c r="Y52" s="10">
        <v>22</v>
      </c>
      <c r="Z52" s="10">
        <v>23</v>
      </c>
      <c r="AA52" s="1">
        <v>24</v>
      </c>
      <c r="AB52" s="1">
        <v>25</v>
      </c>
      <c r="AC52" s="1">
        <v>26</v>
      </c>
      <c r="AD52" s="1">
        <v>27</v>
      </c>
      <c r="AE52" s="1">
        <v>28</v>
      </c>
      <c r="AF52" s="10">
        <v>29</v>
      </c>
      <c r="AG52" s="10">
        <v>30</v>
      </c>
      <c r="AH52" s="5">
        <v>31</v>
      </c>
      <c r="AI52" s="56"/>
      <c r="AJ52" s="56"/>
      <c r="AK52" s="47"/>
      <c r="AL52" s="23"/>
      <c r="AM52" s="24"/>
      <c r="AO52" s="126"/>
    </row>
    <row r="53" spans="2:94" ht="30" thickBot="1" x14ac:dyDescent="0.45">
      <c r="B53" s="244"/>
      <c r="C53" s="244"/>
      <c r="D53" s="273" t="s">
        <v>31</v>
      </c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144" t="s">
        <v>87</v>
      </c>
      <c r="AI53" s="134">
        <v>20</v>
      </c>
      <c r="AK53" s="47"/>
      <c r="AL53" s="23"/>
      <c r="AM53" s="24"/>
      <c r="AO53" s="126"/>
    </row>
    <row r="54" spans="2:94" ht="30" thickBot="1" x14ac:dyDescent="0.45">
      <c r="B54" s="244"/>
      <c r="C54" s="244"/>
      <c r="D54" s="12"/>
      <c r="E54" s="10"/>
      <c r="F54" s="1"/>
      <c r="G54" s="90" t="str">
        <f>(D133)</f>
        <v>Pre Separation Brief</v>
      </c>
      <c r="H54" s="1"/>
      <c r="I54" s="1"/>
      <c r="J54" s="1"/>
      <c r="K54" s="10"/>
      <c r="L54" s="10"/>
      <c r="M54" s="1"/>
      <c r="N54" s="90" t="str">
        <f>(D133)</f>
        <v>Pre Separation Brief</v>
      </c>
      <c r="O54" s="1"/>
      <c r="P54" s="253" t="str">
        <f>(D138)</f>
        <v>Education  2 Day Seminar</v>
      </c>
      <c r="Q54" s="254"/>
      <c r="R54" s="10"/>
      <c r="S54" s="75"/>
      <c r="T54" s="255" t="str">
        <f>(D134)</f>
        <v>Three-Day Transition Workshop</v>
      </c>
      <c r="U54" s="256"/>
      <c r="V54" s="256"/>
      <c r="W54" s="257" t="str">
        <f>(D137)</f>
        <v>Employment 2 Day Seminar</v>
      </c>
      <c r="X54" s="258"/>
      <c r="Y54" s="74"/>
      <c r="Z54" s="10"/>
      <c r="AA54" s="1"/>
      <c r="AB54" s="1"/>
      <c r="AC54" s="1"/>
      <c r="AD54" s="1"/>
      <c r="AE54" s="1"/>
      <c r="AF54" s="10"/>
      <c r="AG54" s="10"/>
      <c r="AH54" s="5"/>
      <c r="AK54" s="47"/>
      <c r="AL54" s="23"/>
      <c r="AM54" s="24"/>
      <c r="AO54" s="126"/>
    </row>
    <row r="55" spans="2:94" ht="30" thickBot="1" x14ac:dyDescent="0.45">
      <c r="B55" s="244"/>
      <c r="C55" s="244"/>
      <c r="D55" s="13"/>
      <c r="E55" s="11"/>
      <c r="F55" s="7"/>
      <c r="G55" s="7"/>
      <c r="H55" s="7"/>
      <c r="I55" s="7"/>
      <c r="J55" s="7"/>
      <c r="K55" s="11"/>
      <c r="L55" s="301" t="s">
        <v>106</v>
      </c>
      <c r="M55" s="302"/>
      <c r="N55" s="302"/>
      <c r="O55" s="302"/>
      <c r="P55" s="302"/>
      <c r="Q55" s="302"/>
      <c r="R55" s="303"/>
      <c r="S55" s="11"/>
      <c r="T55" s="73"/>
      <c r="U55" s="73"/>
      <c r="V55" s="87" t="str">
        <f>(D140)</f>
        <v>VA Individual Appointments</v>
      </c>
      <c r="W55" s="73"/>
      <c r="X55" s="73"/>
      <c r="Y55" s="11"/>
      <c r="Z55" s="11"/>
      <c r="AA55" s="7"/>
      <c r="AB55" s="7"/>
      <c r="AC55" s="7"/>
      <c r="AD55" s="7"/>
      <c r="AE55" s="7"/>
      <c r="AF55" s="11"/>
      <c r="AG55" s="11"/>
      <c r="AH55" s="8"/>
      <c r="AK55" s="47"/>
      <c r="AL55" s="23"/>
      <c r="AM55" s="29">
        <v>1</v>
      </c>
      <c r="AO55" s="126">
        <f>SUM(AO49-AM55)</f>
        <v>14</v>
      </c>
    </row>
    <row r="56" spans="2:94" ht="30" thickBot="1" x14ac:dyDescent="0.45">
      <c r="B56" s="244"/>
      <c r="C56" s="244"/>
      <c r="AK56" s="47"/>
      <c r="AL56" s="23"/>
      <c r="AM56" s="24"/>
      <c r="AO56" s="126"/>
    </row>
    <row r="57" spans="2:94" ht="29.25" x14ac:dyDescent="0.4">
      <c r="B57" s="244"/>
      <c r="C57" s="244"/>
      <c r="D57" s="194">
        <v>46266</v>
      </c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6"/>
      <c r="AJ57" s="134" t="s">
        <v>55</v>
      </c>
      <c r="AK57" s="47">
        <f>SUM(AK51+2.5-AM55)</f>
        <v>72</v>
      </c>
      <c r="AL57" s="23"/>
      <c r="AM57" s="24"/>
      <c r="AO57" s="126"/>
    </row>
    <row r="58" spans="2:94" ht="29.25" x14ac:dyDescent="0.4">
      <c r="B58" s="244"/>
      <c r="C58" s="244"/>
      <c r="D58" s="4">
        <v>1</v>
      </c>
      <c r="E58" s="1">
        <v>2</v>
      </c>
      <c r="F58" s="1">
        <v>3</v>
      </c>
      <c r="G58" s="1">
        <v>4</v>
      </c>
      <c r="H58" s="10">
        <v>5</v>
      </c>
      <c r="I58" s="10">
        <v>6</v>
      </c>
      <c r="J58" s="1">
        <v>7</v>
      </c>
      <c r="K58" s="1">
        <v>8</v>
      </c>
      <c r="L58" s="1">
        <v>9</v>
      </c>
      <c r="M58" s="1">
        <v>10</v>
      </c>
      <c r="N58" s="1">
        <v>11</v>
      </c>
      <c r="O58" s="10">
        <v>12</v>
      </c>
      <c r="P58" s="10">
        <v>13</v>
      </c>
      <c r="Q58" s="1">
        <v>14</v>
      </c>
      <c r="R58" s="1">
        <v>15</v>
      </c>
      <c r="S58" s="1">
        <v>16</v>
      </c>
      <c r="T58" s="1">
        <v>17</v>
      </c>
      <c r="U58" s="1">
        <v>18</v>
      </c>
      <c r="V58" s="10">
        <v>19</v>
      </c>
      <c r="W58" s="10">
        <v>20</v>
      </c>
      <c r="X58" s="1">
        <v>21</v>
      </c>
      <c r="Y58" s="1">
        <v>22</v>
      </c>
      <c r="Z58" s="1">
        <v>23</v>
      </c>
      <c r="AA58" s="1">
        <v>24</v>
      </c>
      <c r="AB58" s="1">
        <v>25</v>
      </c>
      <c r="AC58" s="10">
        <v>26</v>
      </c>
      <c r="AD58" s="10">
        <v>27</v>
      </c>
      <c r="AE58" s="1">
        <v>28</v>
      </c>
      <c r="AF58" s="1">
        <v>29</v>
      </c>
      <c r="AG58" s="1">
        <v>30</v>
      </c>
      <c r="AH58" s="5"/>
      <c r="AK58" s="47"/>
      <c r="AL58" s="23"/>
      <c r="AM58" s="24"/>
      <c r="AO58" s="126"/>
    </row>
    <row r="59" spans="2:94" ht="29.25" x14ac:dyDescent="0.4">
      <c r="B59" s="244"/>
      <c r="C59" s="244"/>
      <c r="D59" s="263" t="s">
        <v>103</v>
      </c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5"/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6"/>
      <c r="AH59" s="5"/>
      <c r="AI59" s="134">
        <v>8</v>
      </c>
      <c r="AK59" s="47"/>
      <c r="AL59" s="23"/>
      <c r="AM59" s="24"/>
      <c r="AO59" s="126"/>
    </row>
    <row r="60" spans="2:94" ht="30" thickBot="1" x14ac:dyDescent="0.45">
      <c r="B60" s="244"/>
      <c r="C60" s="244"/>
      <c r="D60" s="78"/>
      <c r="E60" s="78"/>
      <c r="F60" s="78"/>
      <c r="G60" s="78"/>
      <c r="H60" s="80"/>
      <c r="I60" s="80"/>
      <c r="J60" s="78"/>
      <c r="K60" s="95" t="str">
        <f>(D132)</f>
        <v>Initial Individual Counseling</v>
      </c>
      <c r="L60" s="96"/>
      <c r="M60" s="99"/>
      <c r="N60" s="99"/>
      <c r="O60" s="97"/>
      <c r="P60" s="85"/>
      <c r="Q60" s="288" t="str">
        <f>(D134)</f>
        <v>Three-Day Transition Workshop</v>
      </c>
      <c r="R60" s="289"/>
      <c r="S60" s="290"/>
      <c r="T60" s="304" t="str">
        <f>(D136)</f>
        <v>Career &amp; Credential Exploration 2 Day Seminar</v>
      </c>
      <c r="U60" s="305"/>
      <c r="V60" s="85"/>
      <c r="W60" s="85"/>
      <c r="X60" s="84"/>
      <c r="Y60" s="84"/>
      <c r="Z60" s="84"/>
      <c r="AA60" s="84"/>
      <c r="AB60" s="84"/>
      <c r="AC60" s="85"/>
      <c r="AD60" s="85"/>
      <c r="AE60" s="84"/>
      <c r="AF60" s="95" t="str">
        <f>(D132)</f>
        <v>Initial Individual Counseling</v>
      </c>
      <c r="AG60" s="84"/>
      <c r="AH60" s="147"/>
      <c r="AK60" s="47"/>
      <c r="AL60" s="23"/>
      <c r="AM60" s="27"/>
      <c r="AO60" s="126"/>
    </row>
    <row r="61" spans="2:94" ht="30" thickBot="1" x14ac:dyDescent="0.45">
      <c r="B61" s="244"/>
      <c r="C61" s="244"/>
      <c r="D61" s="72"/>
      <c r="E61" s="73"/>
      <c r="F61" s="73"/>
      <c r="G61" s="73"/>
      <c r="H61" s="79"/>
      <c r="I61" s="79"/>
      <c r="J61" s="142" t="s">
        <v>83</v>
      </c>
      <c r="K61" s="81"/>
      <c r="L61" s="81"/>
      <c r="M61" s="98"/>
      <c r="N61" s="98"/>
      <c r="O61" s="82"/>
      <c r="P61" s="82"/>
      <c r="Q61" s="81"/>
      <c r="R61" s="81"/>
      <c r="S61" s="88" t="str">
        <f>(D140)</f>
        <v>VA Individual Appointments</v>
      </c>
      <c r="T61" s="81"/>
      <c r="U61" s="81"/>
      <c r="V61" s="82"/>
      <c r="W61" s="82"/>
      <c r="X61" s="81"/>
      <c r="Y61" s="81"/>
      <c r="Z61" s="81"/>
      <c r="AA61" s="81"/>
      <c r="AB61" s="81"/>
      <c r="AC61" s="82"/>
      <c r="AD61" s="82"/>
      <c r="AE61" s="81"/>
      <c r="AF61" s="81"/>
      <c r="AG61" s="81"/>
      <c r="AH61" s="83"/>
      <c r="AK61" s="47"/>
      <c r="AL61" s="26"/>
      <c r="AM61" s="29">
        <v>18</v>
      </c>
      <c r="AO61" s="126">
        <f>SUM(AO55-AM61)</f>
        <v>-4</v>
      </c>
    </row>
    <row r="62" spans="2:94" ht="15.75" thickBot="1" x14ac:dyDescent="0.25">
      <c r="B62" s="244"/>
      <c r="C62" s="244"/>
      <c r="AK62" s="47"/>
      <c r="AL62" s="23"/>
      <c r="AM62" s="28"/>
    </row>
    <row r="63" spans="2:94" x14ac:dyDescent="0.2">
      <c r="B63" s="244"/>
      <c r="C63" s="244"/>
      <c r="D63" s="194">
        <v>46296</v>
      </c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6"/>
      <c r="AJ63" s="134" t="s">
        <v>56</v>
      </c>
      <c r="AK63" s="47">
        <f>SUM(AK57+2.5-AM61)</f>
        <v>56.5</v>
      </c>
      <c r="AL63" s="23"/>
      <c r="AM63" s="24"/>
    </row>
    <row r="64" spans="2:94" x14ac:dyDescent="0.2">
      <c r="B64" s="244"/>
      <c r="C64" s="244"/>
      <c r="D64" s="4">
        <v>1</v>
      </c>
      <c r="E64" s="1">
        <v>2</v>
      </c>
      <c r="F64" s="10">
        <v>3</v>
      </c>
      <c r="G64" s="10">
        <v>4</v>
      </c>
      <c r="H64" s="1">
        <v>5</v>
      </c>
      <c r="I64" s="1">
        <v>6</v>
      </c>
      <c r="J64" s="1">
        <v>7</v>
      </c>
      <c r="K64" s="1">
        <v>8</v>
      </c>
      <c r="L64" s="1">
        <v>9</v>
      </c>
      <c r="M64" s="10">
        <v>10</v>
      </c>
      <c r="N64" s="10">
        <v>11</v>
      </c>
      <c r="O64" s="1">
        <v>12</v>
      </c>
      <c r="P64" s="1">
        <v>13</v>
      </c>
      <c r="Q64" s="1">
        <v>14</v>
      </c>
      <c r="R64" s="1">
        <v>15</v>
      </c>
      <c r="S64" s="1">
        <v>16</v>
      </c>
      <c r="T64" s="10">
        <v>17</v>
      </c>
      <c r="U64" s="10">
        <v>18</v>
      </c>
      <c r="V64" s="1">
        <v>19</v>
      </c>
      <c r="W64" s="1">
        <v>20</v>
      </c>
      <c r="X64" s="1">
        <v>21</v>
      </c>
      <c r="Y64" s="1">
        <v>22</v>
      </c>
      <c r="Z64" s="1">
        <v>23</v>
      </c>
      <c r="AA64" s="10">
        <v>24</v>
      </c>
      <c r="AB64" s="10">
        <v>25</v>
      </c>
      <c r="AC64" s="1">
        <v>26</v>
      </c>
      <c r="AD64" s="1">
        <v>27</v>
      </c>
      <c r="AE64" s="1">
        <v>28</v>
      </c>
      <c r="AF64" s="1">
        <v>29</v>
      </c>
      <c r="AG64" s="1">
        <v>30</v>
      </c>
      <c r="AH64" s="14">
        <v>31</v>
      </c>
      <c r="AI64" s="56"/>
      <c r="AJ64" s="56"/>
      <c r="AK64" s="47"/>
      <c r="AL64" s="23"/>
      <c r="AM64" s="24"/>
      <c r="BL64" s="262" t="s">
        <v>0</v>
      </c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</row>
    <row r="65" spans="1:94" ht="21.75" thickBot="1" x14ac:dyDescent="0.35">
      <c r="B65" s="244"/>
      <c r="C65" s="244"/>
      <c r="D65" s="201" t="s">
        <v>5</v>
      </c>
      <c r="E65" s="201"/>
      <c r="F65" s="201"/>
      <c r="G65" s="201"/>
      <c r="H65" s="307" t="s">
        <v>107</v>
      </c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265" t="s">
        <v>5</v>
      </c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310"/>
      <c r="AI65" s="56">
        <v>12</v>
      </c>
      <c r="AJ65" s="56"/>
      <c r="AK65" s="47"/>
      <c r="AL65" s="23"/>
      <c r="AM65" s="24"/>
      <c r="BL65">
        <v>1</v>
      </c>
      <c r="BM65">
        <v>2</v>
      </c>
      <c r="BN65">
        <v>3</v>
      </c>
      <c r="BO65">
        <v>4</v>
      </c>
      <c r="BP65">
        <v>5</v>
      </c>
      <c r="BQ65">
        <v>6</v>
      </c>
      <c r="BR65">
        <v>7</v>
      </c>
      <c r="BS65">
        <v>8</v>
      </c>
      <c r="BT65">
        <v>9</v>
      </c>
      <c r="BU65">
        <v>10</v>
      </c>
      <c r="BV65">
        <v>11</v>
      </c>
      <c r="BW65">
        <v>12</v>
      </c>
      <c r="BX65">
        <v>13</v>
      </c>
      <c r="BY65">
        <v>14</v>
      </c>
      <c r="BZ65">
        <v>15</v>
      </c>
      <c r="CA65">
        <v>16</v>
      </c>
      <c r="CB65">
        <v>17</v>
      </c>
      <c r="CC65">
        <v>18</v>
      </c>
      <c r="CD65">
        <v>19</v>
      </c>
      <c r="CE65">
        <v>20</v>
      </c>
      <c r="CF65">
        <v>21</v>
      </c>
      <c r="CG65">
        <v>22</v>
      </c>
      <c r="CH65">
        <v>23</v>
      </c>
      <c r="CI65">
        <v>24</v>
      </c>
      <c r="CJ65">
        <v>25</v>
      </c>
      <c r="CK65">
        <v>26</v>
      </c>
      <c r="CL65">
        <v>27</v>
      </c>
      <c r="CM65">
        <v>28</v>
      </c>
      <c r="CN65">
        <v>29</v>
      </c>
      <c r="CO65">
        <v>30</v>
      </c>
      <c r="CP65">
        <v>31</v>
      </c>
    </row>
    <row r="66" spans="1:94" ht="15.75" thickBot="1" x14ac:dyDescent="0.25">
      <c r="B66" s="244"/>
      <c r="C66" s="244"/>
      <c r="D66" s="4"/>
      <c r="E66" s="1"/>
      <c r="F66" s="10"/>
      <c r="G66" s="10"/>
      <c r="H66" s="250" t="str">
        <f>(D135)</f>
        <v>Entrepreneurship 2-Day Seminar</v>
      </c>
      <c r="I66" s="251"/>
      <c r="J66" s="1"/>
      <c r="K66" s="1"/>
      <c r="L66" s="1"/>
      <c r="M66" s="10"/>
      <c r="N66" s="10"/>
      <c r="O66" s="1"/>
      <c r="P66" s="1"/>
      <c r="Q66" s="1"/>
      <c r="R66" s="1"/>
      <c r="S66" s="1"/>
      <c r="T66" s="10"/>
      <c r="U66" s="10"/>
      <c r="V66" s="288" t="str">
        <f>(D134)</f>
        <v>Three-Day Transition Workshop</v>
      </c>
      <c r="W66" s="289"/>
      <c r="X66" s="290"/>
      <c r="Y66" s="257" t="str">
        <f>(D137)</f>
        <v>Employment 2 Day Seminar</v>
      </c>
      <c r="Z66" s="258"/>
      <c r="AA66" s="10"/>
      <c r="AB66" s="10"/>
      <c r="AC66" s="1"/>
      <c r="AD66" s="93" t="str">
        <f>(D133)</f>
        <v>Pre Separation Brief</v>
      </c>
      <c r="AE66" s="1"/>
      <c r="AF66" s="94" t="str">
        <f>(D138)</f>
        <v>Education  2 Day Seminar</v>
      </c>
      <c r="AG66" s="1"/>
      <c r="AH66" s="14"/>
      <c r="AK66" s="47"/>
      <c r="AL66" s="23"/>
      <c r="AM66" s="27"/>
    </row>
    <row r="67" spans="1:94" ht="15.75" thickBot="1" x14ac:dyDescent="0.25">
      <c r="B67" s="244"/>
      <c r="C67" s="244"/>
      <c r="D67" s="4"/>
      <c r="E67" s="1"/>
      <c r="F67" s="10"/>
      <c r="G67" s="10"/>
      <c r="H67" s="70" t="s">
        <v>89</v>
      </c>
      <c r="I67" s="1"/>
      <c r="J67" s="1"/>
      <c r="K67" s="1"/>
      <c r="L67" s="70" t="s">
        <v>29</v>
      </c>
      <c r="M67" s="10"/>
      <c r="N67" s="10"/>
      <c r="O67" s="141" t="s">
        <v>84</v>
      </c>
      <c r="P67" s="1"/>
      <c r="Q67" s="1"/>
      <c r="R67" s="1"/>
      <c r="S67" s="1"/>
      <c r="T67" s="10"/>
      <c r="U67" s="10"/>
      <c r="V67" s="1"/>
      <c r="W67" s="1"/>
      <c r="X67" s="88" t="str">
        <f>(D140)</f>
        <v>VA Individual Appointments</v>
      </c>
      <c r="Y67" s="1"/>
      <c r="Z67" s="1"/>
      <c r="AA67" s="10"/>
      <c r="AB67" s="10"/>
      <c r="AC67" s="1"/>
      <c r="AD67" s="1"/>
      <c r="AE67" s="1"/>
      <c r="AF67" s="1"/>
      <c r="AG67" s="1"/>
      <c r="AH67" s="15"/>
      <c r="AK67" s="47"/>
      <c r="AL67" s="26"/>
      <c r="AM67" s="29">
        <v>12</v>
      </c>
    </row>
    <row r="68" spans="1:94" ht="15.75" thickBot="1" x14ac:dyDescent="0.25">
      <c r="B68" s="244"/>
      <c r="C68" s="24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K68" s="47"/>
      <c r="AL68" s="23"/>
      <c r="AM68" s="28"/>
    </row>
    <row r="69" spans="1:94" ht="15.75" thickBot="1" x14ac:dyDescent="0.25">
      <c r="B69" s="244"/>
      <c r="C69" s="244"/>
      <c r="D69" s="190">
        <v>46327</v>
      </c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2"/>
      <c r="AG69" s="192"/>
      <c r="AH69" s="193"/>
      <c r="AJ69" s="134" t="s">
        <v>57</v>
      </c>
      <c r="AK69" s="47">
        <f>SUM(AK63+2.5-AM67)</f>
        <v>47</v>
      </c>
      <c r="AL69" s="23"/>
      <c r="AM69" s="24"/>
    </row>
    <row r="70" spans="1:94" ht="15.75" thickBot="1" x14ac:dyDescent="0.25">
      <c r="B70" s="244"/>
      <c r="C70" s="244"/>
      <c r="D70" s="120">
        <v>1</v>
      </c>
      <c r="E70" s="57">
        <v>2</v>
      </c>
      <c r="F70" s="57">
        <v>3</v>
      </c>
      <c r="G70" s="57">
        <v>4</v>
      </c>
      <c r="H70" s="57">
        <v>5</v>
      </c>
      <c r="I70" s="57">
        <v>6</v>
      </c>
      <c r="J70" s="58">
        <v>7</v>
      </c>
      <c r="K70" s="58">
        <v>8</v>
      </c>
      <c r="L70" s="57">
        <v>9</v>
      </c>
      <c r="M70" s="57">
        <v>10</v>
      </c>
      <c r="N70" s="57">
        <v>11</v>
      </c>
      <c r="O70" s="57">
        <v>12</v>
      </c>
      <c r="P70" s="57">
        <v>13</v>
      </c>
      <c r="Q70" s="58">
        <v>14</v>
      </c>
      <c r="R70" s="58">
        <v>15</v>
      </c>
      <c r="S70" s="57">
        <v>16</v>
      </c>
      <c r="T70" s="57">
        <v>17</v>
      </c>
      <c r="U70" s="57">
        <v>18</v>
      </c>
      <c r="V70" s="57">
        <v>19</v>
      </c>
      <c r="W70" s="57">
        <v>20</v>
      </c>
      <c r="X70" s="58">
        <v>21</v>
      </c>
      <c r="Y70" s="58">
        <v>22</v>
      </c>
      <c r="Z70" s="57">
        <v>23</v>
      </c>
      <c r="AA70" s="57">
        <v>24</v>
      </c>
      <c r="AB70" s="68">
        <v>25</v>
      </c>
      <c r="AC70" s="68">
        <v>26</v>
      </c>
      <c r="AD70" s="68">
        <v>27</v>
      </c>
      <c r="AE70" s="69">
        <v>28</v>
      </c>
      <c r="AF70" s="69">
        <v>29</v>
      </c>
      <c r="AG70" s="64">
        <v>30</v>
      </c>
      <c r="AH70" s="3"/>
      <c r="AI70" s="56"/>
      <c r="AJ70" s="56"/>
      <c r="AK70" s="47"/>
      <c r="AL70" s="23"/>
      <c r="AM70" s="24"/>
    </row>
    <row r="71" spans="1:94" ht="21.75" thickBot="1" x14ac:dyDescent="0.35">
      <c r="A71" s="67"/>
      <c r="B71" s="244"/>
      <c r="C71" s="244"/>
      <c r="D71" s="132"/>
      <c r="E71" s="373" t="s">
        <v>70</v>
      </c>
      <c r="F71" s="373"/>
      <c r="G71" s="373"/>
      <c r="H71" s="373"/>
      <c r="I71" s="373"/>
      <c r="J71" s="373"/>
      <c r="K71" s="373"/>
      <c r="L71" s="373"/>
      <c r="M71" s="373"/>
      <c r="N71" s="373"/>
      <c r="O71" s="373"/>
      <c r="P71" s="373"/>
      <c r="Q71" s="210" t="s">
        <v>63</v>
      </c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6"/>
      <c r="AH71" s="5"/>
      <c r="AI71" s="134">
        <v>9</v>
      </c>
      <c r="AK71" s="47"/>
      <c r="AL71" s="23"/>
      <c r="AM71" s="24"/>
    </row>
    <row r="72" spans="1:94" ht="15.75" thickBot="1" x14ac:dyDescent="0.25">
      <c r="B72" s="244"/>
      <c r="C72" s="244"/>
      <c r="D72" s="121"/>
      <c r="E72" s="59"/>
      <c r="F72" s="59"/>
      <c r="G72" s="59"/>
      <c r="H72" s="59"/>
      <c r="I72" s="59"/>
      <c r="J72" s="60"/>
      <c r="K72" s="60"/>
      <c r="L72" s="59"/>
      <c r="M72" s="59"/>
      <c r="N72" s="59"/>
      <c r="O72" s="298" t="str">
        <f>(D136)</f>
        <v>Career &amp; Credential Exploration 2 Day Seminar</v>
      </c>
      <c r="P72" s="299"/>
      <c r="Q72" s="60"/>
      <c r="R72" s="60"/>
      <c r="S72" s="295" t="str">
        <f>(D134)</f>
        <v>Three-Day Transition Workshop</v>
      </c>
      <c r="T72" s="296"/>
      <c r="U72" s="297"/>
      <c r="V72" s="280" t="str">
        <f>(D137)</f>
        <v>Employment 2 Day Seminar</v>
      </c>
      <c r="W72" s="281"/>
      <c r="X72" s="60"/>
      <c r="Y72" s="60"/>
      <c r="Z72" s="282" t="s">
        <v>80</v>
      </c>
      <c r="AA72" s="283"/>
      <c r="AB72" s="283"/>
      <c r="AC72" s="283"/>
      <c r="AD72" s="300"/>
      <c r="AE72" s="60"/>
      <c r="AF72" s="60"/>
      <c r="AG72" s="1"/>
      <c r="AH72" s="5"/>
      <c r="AK72" s="47"/>
      <c r="AL72" s="23"/>
      <c r="AM72" s="27"/>
    </row>
    <row r="73" spans="1:94" ht="15.75" thickBot="1" x14ac:dyDescent="0.25">
      <c r="B73" s="244"/>
      <c r="C73" s="244"/>
      <c r="D73" s="13"/>
      <c r="E73" s="7"/>
      <c r="F73" s="92" t="str">
        <f>(D133)</f>
        <v>Pre Separation Brief</v>
      </c>
      <c r="G73" s="7"/>
      <c r="H73" s="7"/>
      <c r="I73" s="7"/>
      <c r="J73" s="11"/>
      <c r="K73" s="11"/>
      <c r="L73" s="7"/>
      <c r="M73" s="7"/>
      <c r="N73" s="143" t="s">
        <v>85</v>
      </c>
      <c r="O73" s="7"/>
      <c r="P73" s="7"/>
      <c r="Q73" s="11"/>
      <c r="R73" s="11"/>
      <c r="S73" s="7"/>
      <c r="T73" s="7"/>
      <c r="U73" s="89" t="str">
        <f>(D140)</f>
        <v>VA Individual Appointments</v>
      </c>
      <c r="V73" s="7"/>
      <c r="W73" s="7"/>
      <c r="X73" s="11"/>
      <c r="Y73" s="11"/>
      <c r="Z73" s="7"/>
      <c r="AA73" s="123" t="str">
        <f>(D133)</f>
        <v>Pre Separation Brief</v>
      </c>
      <c r="AB73" s="7"/>
      <c r="AC73" s="211" t="s">
        <v>2</v>
      </c>
      <c r="AD73" s="212"/>
      <c r="AE73" s="11"/>
      <c r="AF73" s="11"/>
      <c r="AG73" s="7"/>
      <c r="AH73" s="8"/>
      <c r="AK73" s="47"/>
      <c r="AL73" s="26"/>
      <c r="AM73" s="29">
        <v>12</v>
      </c>
    </row>
    <row r="74" spans="1:94" ht="15.75" thickBot="1" x14ac:dyDescent="0.25">
      <c r="B74" s="244"/>
      <c r="C74" s="24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K74" s="47"/>
      <c r="AL74" s="23"/>
      <c r="AM74" s="28"/>
    </row>
    <row r="75" spans="1:94" x14ac:dyDescent="0.2">
      <c r="B75" s="244"/>
      <c r="C75" s="244"/>
      <c r="D75" s="217">
        <v>46357</v>
      </c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9"/>
      <c r="AG75" s="219"/>
      <c r="AH75" s="220"/>
      <c r="AJ75" s="134" t="s">
        <v>58</v>
      </c>
      <c r="AK75" s="47">
        <f>SUM(AK69+2.5-AM73)</f>
        <v>37.5</v>
      </c>
      <c r="AL75" s="23"/>
      <c r="AM75" s="24"/>
    </row>
    <row r="76" spans="1:94" x14ac:dyDescent="0.2">
      <c r="B76" s="244"/>
      <c r="C76" s="244"/>
      <c r="D76" s="4">
        <v>1</v>
      </c>
      <c r="E76" s="1">
        <v>2</v>
      </c>
      <c r="F76" s="1">
        <v>3</v>
      </c>
      <c r="G76" s="1">
        <v>4</v>
      </c>
      <c r="H76" s="10">
        <v>5</v>
      </c>
      <c r="I76" s="10">
        <v>6</v>
      </c>
      <c r="J76" s="1">
        <v>7</v>
      </c>
      <c r="K76" s="1">
        <v>8</v>
      </c>
      <c r="L76" s="1">
        <v>9</v>
      </c>
      <c r="M76" s="1">
        <v>10</v>
      </c>
      <c r="N76" s="1">
        <v>11</v>
      </c>
      <c r="O76" s="10">
        <v>12</v>
      </c>
      <c r="P76" s="10">
        <v>13</v>
      </c>
      <c r="Q76" s="1">
        <v>14</v>
      </c>
      <c r="R76" s="1">
        <v>15</v>
      </c>
      <c r="S76" s="1">
        <v>16</v>
      </c>
      <c r="T76" s="1">
        <v>17</v>
      </c>
      <c r="U76" s="1">
        <v>18</v>
      </c>
      <c r="V76" s="10">
        <v>19</v>
      </c>
      <c r="W76" s="10">
        <v>20</v>
      </c>
      <c r="X76" s="1">
        <v>21</v>
      </c>
      <c r="Y76" s="1">
        <v>22</v>
      </c>
      <c r="Z76" s="1">
        <v>23</v>
      </c>
      <c r="AA76" s="1">
        <v>24</v>
      </c>
      <c r="AB76" s="1">
        <v>25</v>
      </c>
      <c r="AC76" s="10">
        <v>26</v>
      </c>
      <c r="AD76" s="10">
        <v>27</v>
      </c>
      <c r="AE76" s="1">
        <v>28</v>
      </c>
      <c r="AF76" s="1">
        <v>29</v>
      </c>
      <c r="AG76" s="1">
        <v>30</v>
      </c>
      <c r="AH76" s="1">
        <v>31</v>
      </c>
      <c r="AK76" s="47"/>
      <c r="AL76" s="23"/>
      <c r="AM76" s="24"/>
    </row>
    <row r="77" spans="1:94" ht="21.75" thickBot="1" x14ac:dyDescent="0.35">
      <c r="B77" s="244"/>
      <c r="C77" s="244"/>
      <c r="D77" s="273" t="s">
        <v>38</v>
      </c>
      <c r="E77" s="265"/>
      <c r="F77" s="265"/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01" t="s">
        <v>74</v>
      </c>
      <c r="Y77" s="201"/>
      <c r="Z77" s="201"/>
      <c r="AA77" s="201"/>
      <c r="AB77" s="201"/>
      <c r="AC77" s="201"/>
      <c r="AD77" s="201"/>
      <c r="AE77" s="201"/>
      <c r="AF77" s="201"/>
      <c r="AG77" s="201"/>
      <c r="AH77" s="375"/>
      <c r="AI77" s="134">
        <v>20</v>
      </c>
      <c r="AK77" s="47"/>
      <c r="AL77" s="23"/>
      <c r="AM77" s="24"/>
    </row>
    <row r="78" spans="1:94" ht="15.75" thickBot="1" x14ac:dyDescent="0.25">
      <c r="B78" s="244"/>
      <c r="C78" s="244"/>
      <c r="D78" s="91" t="str">
        <f>(D133)</f>
        <v>Pre Separation Brief</v>
      </c>
      <c r="E78" s="1"/>
      <c r="F78" s="1"/>
      <c r="G78" s="1"/>
      <c r="H78" s="10"/>
      <c r="I78" s="10"/>
      <c r="J78" s="288" t="str">
        <f>(D134)</f>
        <v>Three-Day Transition Workshop</v>
      </c>
      <c r="K78" s="289"/>
      <c r="L78" s="290"/>
      <c r="M78" s="257" t="str">
        <f>(D137)</f>
        <v>Employment 2 Day Seminar</v>
      </c>
      <c r="N78" s="258"/>
      <c r="O78" s="10"/>
      <c r="P78" s="10"/>
      <c r="Q78" s="1"/>
      <c r="R78" s="90" t="str">
        <f>(D133)</f>
        <v>Pre Separation Brief</v>
      </c>
      <c r="S78" s="1"/>
      <c r="T78" s="1"/>
      <c r="U78" s="1"/>
      <c r="V78" s="11"/>
      <c r="W78" s="11"/>
      <c r="X78" s="282" t="s">
        <v>80</v>
      </c>
      <c r="Y78" s="283"/>
      <c r="Z78" s="283"/>
      <c r="AA78" s="283"/>
      <c r="AB78" s="283"/>
      <c r="AC78" s="283"/>
      <c r="AD78" s="283"/>
      <c r="AE78" s="323"/>
      <c r="AF78" s="323"/>
      <c r="AG78" s="323"/>
      <c r="AH78" s="324"/>
      <c r="AK78" s="47"/>
      <c r="AL78" s="23"/>
      <c r="AM78" s="27"/>
    </row>
    <row r="79" spans="1:94" ht="15.75" thickBot="1" x14ac:dyDescent="0.25">
      <c r="B79" s="244"/>
      <c r="C79" s="244"/>
      <c r="D79" s="6"/>
      <c r="E79" s="122" t="s">
        <v>18</v>
      </c>
      <c r="F79" s="7"/>
      <c r="G79" s="7"/>
      <c r="H79" s="11"/>
      <c r="I79" s="11"/>
      <c r="J79" s="7"/>
      <c r="K79" s="7"/>
      <c r="L79" s="89" t="str">
        <f>(D140)</f>
        <v>VA Individual Appointments</v>
      </c>
      <c r="M79" s="7"/>
      <c r="N79" s="7"/>
      <c r="O79" s="11"/>
      <c r="P79" s="11"/>
      <c r="Q79" s="7"/>
      <c r="R79" s="7"/>
      <c r="S79" s="7"/>
      <c r="T79" s="7"/>
      <c r="U79" s="7"/>
      <c r="V79" s="11"/>
      <c r="W79" s="11"/>
      <c r="X79" s="7"/>
      <c r="Y79" s="7"/>
      <c r="Z79" s="7"/>
      <c r="AA79" s="22" t="s">
        <v>3</v>
      </c>
      <c r="AB79" s="22" t="s">
        <v>3</v>
      </c>
      <c r="AC79" s="11"/>
      <c r="AD79" s="11"/>
      <c r="AE79" s="7"/>
      <c r="AF79" s="7"/>
      <c r="AG79" s="7"/>
      <c r="AH79" s="22" t="s">
        <v>3</v>
      </c>
      <c r="AK79" s="47"/>
      <c r="AL79" s="26"/>
      <c r="AM79" s="29">
        <v>0</v>
      </c>
    </row>
    <row r="80" spans="1:94" ht="15.75" thickBot="1" x14ac:dyDescent="0.25">
      <c r="B80" s="244"/>
      <c r="C80" s="24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K80" s="47"/>
      <c r="AL80" s="23"/>
      <c r="AM80" s="28"/>
    </row>
    <row r="81" spans="2:39" x14ac:dyDescent="0.2">
      <c r="B81" s="244"/>
      <c r="C81" s="244"/>
      <c r="D81" s="194">
        <v>46388</v>
      </c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6"/>
      <c r="AJ81" s="134" t="s">
        <v>59</v>
      </c>
      <c r="AK81" s="47">
        <f>SUM(AK75+2.5-AM79)</f>
        <v>40</v>
      </c>
      <c r="AL81" s="23"/>
      <c r="AM81" s="24"/>
    </row>
    <row r="82" spans="2:39" x14ac:dyDescent="0.2">
      <c r="B82" s="244"/>
      <c r="C82" s="244"/>
      <c r="D82" s="4">
        <v>1</v>
      </c>
      <c r="E82" s="10">
        <v>2</v>
      </c>
      <c r="F82" s="10">
        <v>3</v>
      </c>
      <c r="G82" s="1">
        <v>4</v>
      </c>
      <c r="H82" s="1">
        <v>5</v>
      </c>
      <c r="I82" s="1">
        <v>6</v>
      </c>
      <c r="J82" s="1">
        <v>7</v>
      </c>
      <c r="K82" s="1">
        <v>8</v>
      </c>
      <c r="L82" s="10">
        <v>9</v>
      </c>
      <c r="M82" s="10">
        <v>10</v>
      </c>
      <c r="N82" s="1">
        <v>11</v>
      </c>
      <c r="O82" s="1">
        <v>12</v>
      </c>
      <c r="P82" s="1">
        <v>13</v>
      </c>
      <c r="Q82" s="1">
        <v>14</v>
      </c>
      <c r="R82" s="1">
        <v>15</v>
      </c>
      <c r="S82" s="10">
        <v>16</v>
      </c>
      <c r="T82" s="10">
        <v>17</v>
      </c>
      <c r="U82" s="1">
        <v>18</v>
      </c>
      <c r="V82" s="1">
        <v>19</v>
      </c>
      <c r="W82" s="1">
        <v>20</v>
      </c>
      <c r="X82" s="1">
        <v>21</v>
      </c>
      <c r="Y82" s="1">
        <v>22</v>
      </c>
      <c r="Z82" s="10">
        <v>23</v>
      </c>
      <c r="AA82" s="10">
        <v>24</v>
      </c>
      <c r="AB82" s="1">
        <v>25</v>
      </c>
      <c r="AC82" s="1">
        <v>26</v>
      </c>
      <c r="AD82" s="1">
        <v>27</v>
      </c>
      <c r="AE82" s="1">
        <v>28</v>
      </c>
      <c r="AF82" s="1">
        <v>29</v>
      </c>
      <c r="AG82" s="10">
        <v>30</v>
      </c>
      <c r="AH82" s="40">
        <v>31</v>
      </c>
      <c r="AK82" s="47"/>
      <c r="AL82" s="23"/>
      <c r="AM82" s="24"/>
    </row>
    <row r="83" spans="2:39" ht="21" x14ac:dyDescent="0.3">
      <c r="B83" s="244"/>
      <c r="C83" s="244"/>
      <c r="D83" s="200" t="s">
        <v>73</v>
      </c>
      <c r="E83" s="201"/>
      <c r="F83" s="201"/>
      <c r="G83" s="207" t="s">
        <v>78</v>
      </c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8"/>
      <c r="AK83" s="47"/>
      <c r="AL83" s="23"/>
      <c r="AM83" s="24"/>
    </row>
    <row r="84" spans="2:39" ht="15.75" thickBot="1" x14ac:dyDescent="0.25">
      <c r="B84" s="244"/>
      <c r="C84" s="244"/>
      <c r="D84" s="100"/>
      <c r="E84" s="10"/>
      <c r="F84" s="10"/>
      <c r="G84" s="1"/>
      <c r="H84" s="1"/>
      <c r="I84" s="1"/>
      <c r="J84" s="1"/>
      <c r="K84" s="1"/>
      <c r="L84" s="10"/>
      <c r="M84" s="10"/>
      <c r="N84" s="1"/>
      <c r="O84" s="1"/>
      <c r="P84" s="1"/>
      <c r="Q84" s="1"/>
      <c r="R84" s="1"/>
      <c r="S84" s="10"/>
      <c r="T84" s="10"/>
      <c r="U84" s="1"/>
      <c r="V84" s="1"/>
      <c r="W84" s="1"/>
      <c r="X84" s="1"/>
      <c r="Y84" s="1"/>
      <c r="Z84" s="10"/>
      <c r="AA84" s="10"/>
      <c r="AB84" s="1"/>
      <c r="AC84" s="1"/>
      <c r="AD84" s="1"/>
      <c r="AE84" s="1"/>
      <c r="AF84" s="1"/>
      <c r="AG84" s="10"/>
      <c r="AH84" s="40"/>
      <c r="AK84" s="47"/>
      <c r="AL84" s="23"/>
      <c r="AM84" s="27"/>
    </row>
    <row r="85" spans="2:39" ht="15.75" thickBot="1" x14ac:dyDescent="0.25">
      <c r="B85" s="244"/>
      <c r="C85" s="244"/>
      <c r="D85" s="21" t="s">
        <v>2</v>
      </c>
      <c r="E85" s="10"/>
      <c r="F85" s="10"/>
      <c r="G85" s="1"/>
      <c r="H85" s="1"/>
      <c r="I85" s="1"/>
      <c r="J85" s="1"/>
      <c r="K85" s="1"/>
      <c r="L85" s="10"/>
      <c r="M85" s="10"/>
      <c r="N85" s="1"/>
      <c r="O85" s="1"/>
      <c r="P85" s="1"/>
      <c r="Q85" s="1"/>
      <c r="R85" s="1"/>
      <c r="S85" s="10"/>
      <c r="T85" s="10"/>
      <c r="U85" s="141" t="s">
        <v>81</v>
      </c>
      <c r="V85" s="1"/>
      <c r="W85" s="1"/>
      <c r="X85" s="1"/>
      <c r="Y85" s="1"/>
      <c r="Z85" s="10"/>
      <c r="AA85" s="10"/>
      <c r="AB85" s="1"/>
      <c r="AC85" s="1"/>
      <c r="AD85" s="1"/>
      <c r="AE85" s="1"/>
      <c r="AF85" s="1"/>
      <c r="AG85" s="10"/>
      <c r="AH85" s="40"/>
      <c r="AK85" s="47"/>
      <c r="AL85" s="26"/>
      <c r="AM85" s="29">
        <v>0</v>
      </c>
    </row>
    <row r="86" spans="2:39" ht="15.75" thickBot="1" x14ac:dyDescent="0.25">
      <c r="B86" s="244"/>
      <c r="C86" s="244"/>
      <c r="AK86" s="47"/>
      <c r="AL86" s="23"/>
      <c r="AM86" s="28"/>
    </row>
    <row r="87" spans="2:39" x14ac:dyDescent="0.2">
      <c r="B87" s="244"/>
      <c r="C87" s="244"/>
      <c r="D87" s="194">
        <v>46419</v>
      </c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6"/>
      <c r="AJ87" s="134" t="s">
        <v>60</v>
      </c>
      <c r="AK87" s="47">
        <f>SUM(AK81+2.5-AM85)</f>
        <v>42.5</v>
      </c>
      <c r="AL87" s="23"/>
      <c r="AM87" s="24"/>
    </row>
    <row r="88" spans="2:39" x14ac:dyDescent="0.2">
      <c r="B88" s="244"/>
      <c r="C88" s="244"/>
      <c r="D88" s="4">
        <v>1</v>
      </c>
      <c r="E88" s="1">
        <v>2</v>
      </c>
      <c r="F88" s="1">
        <v>3</v>
      </c>
      <c r="G88" s="1">
        <v>4</v>
      </c>
      <c r="H88" s="1">
        <v>5</v>
      </c>
      <c r="I88" s="38">
        <v>6</v>
      </c>
      <c r="J88" s="38">
        <v>7</v>
      </c>
      <c r="K88" s="1">
        <v>8</v>
      </c>
      <c r="L88" s="1">
        <v>9</v>
      </c>
      <c r="M88" s="1">
        <v>10</v>
      </c>
      <c r="N88" s="1">
        <v>11</v>
      </c>
      <c r="O88" s="1">
        <v>12</v>
      </c>
      <c r="P88" s="38">
        <v>13</v>
      </c>
      <c r="Q88" s="38">
        <v>14</v>
      </c>
      <c r="R88" s="1">
        <v>15</v>
      </c>
      <c r="S88" s="1">
        <v>16</v>
      </c>
      <c r="T88" s="1">
        <v>17</v>
      </c>
      <c r="U88" s="1">
        <v>18</v>
      </c>
      <c r="V88" s="1">
        <v>19</v>
      </c>
      <c r="W88" s="38">
        <v>20</v>
      </c>
      <c r="X88" s="38">
        <v>21</v>
      </c>
      <c r="Y88" s="1">
        <v>22</v>
      </c>
      <c r="Z88" s="1">
        <v>23</v>
      </c>
      <c r="AA88" s="62">
        <v>24</v>
      </c>
      <c r="AB88" s="62">
        <v>25</v>
      </c>
      <c r="AC88" s="62">
        <v>26</v>
      </c>
      <c r="AD88" s="103">
        <v>27</v>
      </c>
      <c r="AE88" s="103">
        <v>28</v>
      </c>
      <c r="AF88" s="1"/>
      <c r="AG88" s="1"/>
      <c r="AH88" s="5"/>
      <c r="AK88" s="47"/>
      <c r="AL88" s="23"/>
      <c r="AM88" s="24"/>
    </row>
    <row r="89" spans="2:39" ht="21" x14ac:dyDescent="0.3">
      <c r="B89" s="244"/>
      <c r="C89" s="244"/>
      <c r="D89" s="207" t="s">
        <v>79</v>
      </c>
      <c r="E89" s="207"/>
      <c r="F89" s="201" t="s">
        <v>73</v>
      </c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10" t="s">
        <v>33</v>
      </c>
      <c r="Z89" s="210"/>
      <c r="AA89" s="210"/>
      <c r="AB89" s="210"/>
      <c r="AC89" s="210"/>
      <c r="AD89" s="210"/>
      <c r="AE89" s="374"/>
      <c r="AF89" s="102"/>
      <c r="AG89" s="1"/>
      <c r="AH89" s="5"/>
      <c r="AI89" s="134">
        <v>16</v>
      </c>
      <c r="AK89" s="47"/>
      <c r="AL89" s="23"/>
      <c r="AM89" s="24"/>
    </row>
    <row r="90" spans="2:39" ht="15.75" thickBot="1" x14ac:dyDescent="0.25">
      <c r="B90" s="244"/>
      <c r="C90" s="244"/>
      <c r="D90" s="4"/>
      <c r="E90" s="1"/>
      <c r="F90" s="1"/>
      <c r="G90" s="1"/>
      <c r="H90" s="1"/>
      <c r="I90" s="38"/>
      <c r="J90" s="38"/>
      <c r="K90" s="1"/>
      <c r="L90" s="1"/>
      <c r="M90" s="1"/>
      <c r="N90" s="1"/>
      <c r="O90" s="1"/>
      <c r="P90" s="38"/>
      <c r="Q90" s="38"/>
      <c r="R90" s="1"/>
      <c r="S90" s="1"/>
      <c r="T90" s="1"/>
      <c r="U90" s="1"/>
      <c r="V90" s="1"/>
      <c r="W90" s="38"/>
      <c r="X90" s="38"/>
      <c r="Y90" s="1"/>
      <c r="Z90" s="1"/>
      <c r="AA90" s="59"/>
      <c r="AB90" s="59"/>
      <c r="AC90" s="59"/>
      <c r="AD90" s="104"/>
      <c r="AE90" s="104"/>
      <c r="AF90" s="1"/>
      <c r="AG90" s="1"/>
      <c r="AH90" s="5"/>
      <c r="AK90" s="47"/>
      <c r="AL90" s="23"/>
      <c r="AM90" s="27"/>
    </row>
    <row r="91" spans="2:39" ht="15.75" thickBot="1" x14ac:dyDescent="0.25">
      <c r="B91" s="244"/>
      <c r="C91" s="244"/>
      <c r="D91" s="4"/>
      <c r="E91" s="1"/>
      <c r="F91" s="1"/>
      <c r="G91" s="1"/>
      <c r="H91" s="1"/>
      <c r="I91" s="38"/>
      <c r="J91" s="38"/>
      <c r="K91" s="22" t="s">
        <v>9</v>
      </c>
      <c r="L91" s="1"/>
      <c r="M91" s="1"/>
      <c r="N91" s="1"/>
      <c r="O91" s="1"/>
      <c r="P91" s="38"/>
      <c r="Q91" s="38"/>
      <c r="R91" s="141" t="s">
        <v>82</v>
      </c>
      <c r="S91" s="1"/>
      <c r="T91" s="1"/>
      <c r="U91" s="1"/>
      <c r="V91" s="1"/>
      <c r="W91" s="38"/>
      <c r="X91" s="38"/>
      <c r="Y91" s="1"/>
      <c r="Z91" s="1"/>
      <c r="AA91" s="1"/>
      <c r="AB91" s="1"/>
      <c r="AC91" s="1"/>
      <c r="AD91" s="38"/>
      <c r="AE91" s="38"/>
      <c r="AF91" s="1"/>
      <c r="AG91" s="1"/>
      <c r="AH91" s="5"/>
      <c r="AK91" s="47"/>
      <c r="AL91" s="26"/>
      <c r="AM91" s="29">
        <v>0</v>
      </c>
    </row>
    <row r="92" spans="2:39" ht="15.75" thickBot="1" x14ac:dyDescent="0.25">
      <c r="B92" s="244"/>
      <c r="C92" s="24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K92" s="47"/>
      <c r="AL92" s="23"/>
      <c r="AM92" s="28"/>
    </row>
    <row r="93" spans="2:39" x14ac:dyDescent="0.2">
      <c r="B93" s="244"/>
      <c r="C93" s="244"/>
      <c r="D93" s="194">
        <v>46447</v>
      </c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6"/>
      <c r="AJ93" s="134" t="s">
        <v>61</v>
      </c>
      <c r="AK93" s="47">
        <f>SUM(AK87+2.5-AM91)</f>
        <v>45</v>
      </c>
      <c r="AL93" s="23"/>
      <c r="AM93" s="24"/>
    </row>
    <row r="94" spans="2:39" x14ac:dyDescent="0.2">
      <c r="B94" s="244"/>
      <c r="C94" s="244"/>
      <c r="D94" s="4">
        <v>1</v>
      </c>
      <c r="E94" s="1">
        <v>2</v>
      </c>
      <c r="F94" s="1">
        <v>3</v>
      </c>
      <c r="G94" s="1">
        <v>4</v>
      </c>
      <c r="H94" s="1">
        <v>5</v>
      </c>
      <c r="I94" s="10">
        <v>6</v>
      </c>
      <c r="J94" s="10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0">
        <v>13</v>
      </c>
      <c r="Q94" s="10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0">
        <v>20</v>
      </c>
      <c r="X94" s="10">
        <v>21</v>
      </c>
      <c r="Y94" s="1">
        <v>22</v>
      </c>
      <c r="Z94" s="1">
        <v>23</v>
      </c>
      <c r="AA94" s="1">
        <v>24</v>
      </c>
      <c r="AB94" s="1">
        <v>25</v>
      </c>
      <c r="AC94" s="1">
        <v>26</v>
      </c>
      <c r="AD94" s="10">
        <v>27</v>
      </c>
      <c r="AE94" s="10">
        <v>28</v>
      </c>
      <c r="AF94" s="1">
        <v>29</v>
      </c>
      <c r="AG94" s="1">
        <v>30</v>
      </c>
      <c r="AH94" s="5">
        <v>31</v>
      </c>
      <c r="AI94" s="134" t="s">
        <v>90</v>
      </c>
      <c r="AK94" s="47"/>
      <c r="AL94" s="23"/>
      <c r="AM94" s="24"/>
    </row>
    <row r="95" spans="2:39" ht="25.5" thickBot="1" x14ac:dyDescent="0.4">
      <c r="B95" s="244"/>
      <c r="C95" s="244"/>
      <c r="D95" s="321" t="s">
        <v>68</v>
      </c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  <c r="AA95" s="325"/>
      <c r="AB95" s="325"/>
      <c r="AC95" s="325"/>
      <c r="AD95" s="325"/>
      <c r="AE95" s="325"/>
      <c r="AF95" s="325"/>
      <c r="AG95" s="325"/>
      <c r="AH95" s="326"/>
      <c r="AI95" s="140">
        <f>SUM(AI53:AI94)</f>
        <v>85</v>
      </c>
      <c r="AK95" s="47"/>
      <c r="AL95" s="23"/>
      <c r="AM95" s="24"/>
    </row>
    <row r="96" spans="2:39" ht="15.75" thickBot="1" x14ac:dyDescent="0.25">
      <c r="B96" s="244"/>
      <c r="C96" s="244"/>
      <c r="D96" s="4"/>
      <c r="E96" s="1"/>
      <c r="F96" s="1"/>
      <c r="G96" s="1"/>
      <c r="H96" s="1"/>
      <c r="I96" s="10"/>
      <c r="J96" s="10"/>
      <c r="K96" s="1"/>
      <c r="L96" s="1"/>
      <c r="M96" s="1"/>
      <c r="N96" s="1"/>
      <c r="O96" s="1"/>
      <c r="P96" s="10"/>
      <c r="Q96" s="10"/>
      <c r="R96" s="1"/>
      <c r="S96" s="1"/>
      <c r="T96" s="1"/>
      <c r="U96" s="1"/>
      <c r="V96" s="1"/>
      <c r="W96" s="10"/>
      <c r="X96" s="10"/>
      <c r="Y96" s="1"/>
      <c r="Z96" s="1"/>
      <c r="AA96" s="1"/>
      <c r="AB96" s="1"/>
      <c r="AC96" s="1"/>
      <c r="AD96" s="10"/>
      <c r="AE96" s="10"/>
      <c r="AF96" s="1"/>
      <c r="AG96" s="1"/>
      <c r="AH96" s="5"/>
      <c r="AK96" s="47"/>
      <c r="AL96" s="23"/>
      <c r="AM96" s="27"/>
    </row>
    <row r="97" spans="2:39" ht="15.75" thickBot="1" x14ac:dyDescent="0.25">
      <c r="B97" s="244"/>
      <c r="C97" s="244"/>
      <c r="D97" s="4"/>
      <c r="E97" s="1"/>
      <c r="F97" s="1"/>
      <c r="G97" s="1"/>
      <c r="H97" s="1"/>
      <c r="I97" s="10"/>
      <c r="J97" s="10"/>
      <c r="K97" s="1"/>
      <c r="L97" s="1"/>
      <c r="M97" s="1"/>
      <c r="N97" s="1"/>
      <c r="O97" s="1"/>
      <c r="P97" s="10"/>
      <c r="Q97" s="10"/>
      <c r="R97" s="1"/>
      <c r="S97" s="1"/>
      <c r="T97" s="1"/>
      <c r="U97" s="1"/>
      <c r="V97" s="1"/>
      <c r="W97" s="10"/>
      <c r="X97" s="10"/>
      <c r="Y97" s="1"/>
      <c r="Z97" s="1"/>
      <c r="AA97" s="1"/>
      <c r="AB97" s="1"/>
      <c r="AC97" s="1"/>
      <c r="AD97" s="10"/>
      <c r="AE97" s="10"/>
      <c r="AF97" s="1"/>
      <c r="AG97" s="1"/>
      <c r="AH97" s="5"/>
      <c r="AK97" s="47"/>
      <c r="AL97" s="26"/>
      <c r="AM97" s="29">
        <v>0</v>
      </c>
    </row>
    <row r="98" spans="2:39" ht="15.75" thickBot="1" x14ac:dyDescent="0.25">
      <c r="B98" s="244"/>
      <c r="C98" s="244"/>
      <c r="AK98" s="47"/>
      <c r="AL98" s="23"/>
      <c r="AM98" s="28"/>
    </row>
    <row r="99" spans="2:39" x14ac:dyDescent="0.2">
      <c r="B99" s="244"/>
      <c r="C99" s="244"/>
      <c r="D99" s="194">
        <v>46478</v>
      </c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6"/>
      <c r="AJ99" s="134" t="s">
        <v>62</v>
      </c>
      <c r="AK99" s="47">
        <f>SUM(AK93+2.5-AM97)</f>
        <v>47.5</v>
      </c>
      <c r="AL99" s="23"/>
      <c r="AM99" s="24"/>
    </row>
    <row r="100" spans="2:39" x14ac:dyDescent="0.2">
      <c r="B100" s="244"/>
      <c r="C100" s="244"/>
      <c r="D100" s="4">
        <v>1</v>
      </c>
      <c r="E100" s="1">
        <v>2</v>
      </c>
      <c r="F100" s="10">
        <v>3</v>
      </c>
      <c r="G100" s="10">
        <v>4</v>
      </c>
      <c r="H100" s="1">
        <v>5</v>
      </c>
      <c r="I100" s="1">
        <v>6</v>
      </c>
      <c r="J100" s="1">
        <v>7</v>
      </c>
      <c r="K100" s="1">
        <v>8</v>
      </c>
      <c r="L100" s="1">
        <v>9</v>
      </c>
      <c r="M100" s="10">
        <v>10</v>
      </c>
      <c r="N100" s="10">
        <v>11</v>
      </c>
      <c r="O100" s="1">
        <v>12</v>
      </c>
      <c r="P100" s="1">
        <v>13</v>
      </c>
      <c r="Q100" s="1">
        <v>14</v>
      </c>
      <c r="R100" s="1">
        <v>15</v>
      </c>
      <c r="S100" s="1">
        <v>16</v>
      </c>
      <c r="T100" s="10">
        <v>17</v>
      </c>
      <c r="U100" s="10">
        <v>18</v>
      </c>
      <c r="V100" s="1">
        <v>19</v>
      </c>
      <c r="W100" s="1">
        <v>20</v>
      </c>
      <c r="X100" s="1">
        <v>21</v>
      </c>
      <c r="Y100" s="1">
        <v>22</v>
      </c>
      <c r="Z100" s="1">
        <v>23</v>
      </c>
      <c r="AA100" s="10">
        <v>24</v>
      </c>
      <c r="AB100" s="10">
        <v>25</v>
      </c>
      <c r="AC100" s="1">
        <v>26</v>
      </c>
      <c r="AD100" s="1">
        <v>27</v>
      </c>
      <c r="AE100" s="1">
        <v>28</v>
      </c>
      <c r="AF100" s="1">
        <v>29</v>
      </c>
      <c r="AG100" s="1">
        <v>30</v>
      </c>
      <c r="AH100" s="5"/>
      <c r="AK100" s="47"/>
      <c r="AL100" s="23"/>
      <c r="AM100" s="24"/>
    </row>
    <row r="101" spans="2:39" ht="21.75" thickBot="1" x14ac:dyDescent="0.35">
      <c r="B101" s="244"/>
      <c r="C101" s="244"/>
      <c r="D101" s="321" t="s">
        <v>77</v>
      </c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322"/>
      <c r="AB101" s="322"/>
      <c r="AC101" s="322"/>
      <c r="AD101" s="322"/>
      <c r="AE101" s="322"/>
      <c r="AF101" s="322"/>
      <c r="AG101" s="133"/>
      <c r="AH101" s="65"/>
      <c r="AK101" s="47"/>
      <c r="AL101" s="23"/>
      <c r="AM101" s="24"/>
    </row>
    <row r="102" spans="2:39" ht="15.75" thickBot="1" x14ac:dyDescent="0.25">
      <c r="B102" s="244"/>
      <c r="C102" s="244"/>
      <c r="D102" s="4"/>
      <c r="E102" s="1"/>
      <c r="F102" s="10"/>
      <c r="G102" s="10"/>
      <c r="H102" s="1"/>
      <c r="I102" s="1"/>
      <c r="J102" s="1"/>
      <c r="K102" s="1"/>
      <c r="L102" s="1"/>
      <c r="M102" s="10"/>
      <c r="N102" s="10"/>
      <c r="O102" s="1"/>
      <c r="P102" s="1"/>
      <c r="Q102" s="1"/>
      <c r="R102" s="1"/>
      <c r="S102" s="1"/>
      <c r="T102" s="10"/>
      <c r="U102" s="10"/>
      <c r="V102" s="1"/>
      <c r="W102" s="1"/>
      <c r="X102" s="1"/>
      <c r="Y102" s="1"/>
      <c r="Z102" s="1"/>
      <c r="AA102" s="10"/>
      <c r="AB102" s="10"/>
      <c r="AC102" s="1"/>
      <c r="AD102" s="1"/>
      <c r="AE102" s="1"/>
      <c r="AF102" s="1"/>
      <c r="AG102" s="1"/>
      <c r="AH102" s="5"/>
      <c r="AK102" s="47"/>
      <c r="AL102" s="23"/>
      <c r="AM102" s="27"/>
    </row>
    <row r="103" spans="2:39" ht="15.75" thickBot="1" x14ac:dyDescent="0.25">
      <c r="B103" s="244"/>
      <c r="C103" s="244"/>
      <c r="D103" s="4"/>
      <c r="E103" s="1"/>
      <c r="F103" s="10"/>
      <c r="G103" s="10"/>
      <c r="H103" s="1"/>
      <c r="I103" s="1"/>
      <c r="J103" s="1"/>
      <c r="K103" s="1"/>
      <c r="L103" s="1"/>
      <c r="M103" s="10"/>
      <c r="N103" s="10"/>
      <c r="O103" s="1"/>
      <c r="P103" s="1"/>
      <c r="Q103" s="1"/>
      <c r="R103" s="1"/>
      <c r="S103" s="1"/>
      <c r="T103" s="10"/>
      <c r="U103" s="10"/>
      <c r="V103" s="1"/>
      <c r="W103" s="1"/>
      <c r="X103" s="1"/>
      <c r="Y103" s="1"/>
      <c r="Z103" s="1"/>
      <c r="AA103" s="10"/>
      <c r="AB103" s="10"/>
      <c r="AC103" s="1"/>
      <c r="AD103" s="1"/>
      <c r="AE103" s="1"/>
      <c r="AF103" s="1"/>
      <c r="AG103" s="1"/>
      <c r="AH103" s="5"/>
      <c r="AK103" s="47"/>
      <c r="AL103" s="26"/>
      <c r="AM103" s="29">
        <v>1</v>
      </c>
    </row>
    <row r="104" spans="2:39" ht="15.75" thickBot="1" x14ac:dyDescent="0.25">
      <c r="B104" s="244"/>
      <c r="C104" s="244"/>
      <c r="AK104" s="47"/>
      <c r="AL104" s="23"/>
      <c r="AM104" s="28"/>
    </row>
    <row r="105" spans="2:39" x14ac:dyDescent="0.2">
      <c r="B105" s="244"/>
      <c r="C105" s="244"/>
      <c r="D105" s="194">
        <v>46508</v>
      </c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6"/>
      <c r="AJ105" s="134" t="s">
        <v>51</v>
      </c>
      <c r="AK105" s="47">
        <f>SUM(AK99+2.5-AM103)</f>
        <v>49</v>
      </c>
      <c r="AL105" s="23"/>
      <c r="AM105" s="24"/>
    </row>
    <row r="106" spans="2:39" x14ac:dyDescent="0.2">
      <c r="B106" s="244"/>
      <c r="C106" s="244"/>
      <c r="D106" s="12">
        <v>1</v>
      </c>
      <c r="E106" s="10">
        <v>2</v>
      </c>
      <c r="F106" s="1">
        <v>3</v>
      </c>
      <c r="G106" s="1">
        <v>4</v>
      </c>
      <c r="H106" s="1">
        <v>5</v>
      </c>
      <c r="I106" s="1">
        <v>6</v>
      </c>
      <c r="J106" s="1">
        <v>7</v>
      </c>
      <c r="K106" s="10">
        <v>8</v>
      </c>
      <c r="L106" s="10">
        <v>9</v>
      </c>
      <c r="M106" s="1">
        <v>10</v>
      </c>
      <c r="N106" s="1">
        <v>11</v>
      </c>
      <c r="O106" s="1">
        <v>12</v>
      </c>
      <c r="P106" s="1">
        <v>13</v>
      </c>
      <c r="Q106" s="1">
        <v>14</v>
      </c>
      <c r="R106" s="10">
        <v>15</v>
      </c>
      <c r="S106" s="10">
        <v>16</v>
      </c>
      <c r="T106" s="1">
        <v>17</v>
      </c>
      <c r="U106" s="1">
        <v>18</v>
      </c>
      <c r="V106" s="1">
        <v>19</v>
      </c>
      <c r="W106" s="1">
        <v>20</v>
      </c>
      <c r="X106" s="1">
        <v>21</v>
      </c>
      <c r="Y106" s="10">
        <v>22</v>
      </c>
      <c r="Z106" s="10">
        <v>23</v>
      </c>
      <c r="AA106" s="1">
        <v>24</v>
      </c>
      <c r="AB106" s="1">
        <v>25</v>
      </c>
      <c r="AC106" s="1">
        <v>26</v>
      </c>
      <c r="AD106" s="1">
        <v>27</v>
      </c>
      <c r="AE106" s="1">
        <v>28</v>
      </c>
      <c r="AF106" s="10">
        <v>29</v>
      </c>
      <c r="AG106" s="10">
        <v>30</v>
      </c>
      <c r="AH106" s="5">
        <v>31</v>
      </c>
      <c r="AK106" s="47"/>
      <c r="AL106" s="23"/>
      <c r="AM106" s="24"/>
    </row>
    <row r="107" spans="2:39" ht="21.75" thickBot="1" x14ac:dyDescent="0.35">
      <c r="B107" s="244"/>
      <c r="C107" s="244"/>
      <c r="D107" s="198" t="s">
        <v>75</v>
      </c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9"/>
      <c r="AK107" s="47"/>
      <c r="AL107" s="23"/>
      <c r="AM107" s="24"/>
    </row>
    <row r="108" spans="2:39" ht="15.75" thickBot="1" x14ac:dyDescent="0.25">
      <c r="B108" s="244"/>
      <c r="C108" s="244"/>
      <c r="D108" s="12"/>
      <c r="E108" s="10"/>
      <c r="F108" s="1"/>
      <c r="G108" s="1"/>
      <c r="H108" s="1"/>
      <c r="I108" s="1"/>
      <c r="J108" s="1"/>
      <c r="K108" s="10"/>
      <c r="L108" s="10"/>
      <c r="M108" s="1"/>
      <c r="N108" s="1"/>
      <c r="O108" s="1"/>
      <c r="P108" s="1"/>
      <c r="Q108" s="1"/>
      <c r="R108" s="10"/>
      <c r="S108" s="10"/>
      <c r="T108" s="1"/>
      <c r="U108" s="1"/>
      <c r="V108" s="1"/>
      <c r="W108" s="1"/>
      <c r="X108" s="1"/>
      <c r="Y108" s="10"/>
      <c r="Z108" s="10"/>
      <c r="AA108" s="1"/>
      <c r="AB108" s="1"/>
      <c r="AC108" s="1"/>
      <c r="AD108" s="1"/>
      <c r="AE108" s="1"/>
      <c r="AF108" s="10"/>
      <c r="AG108" s="10"/>
      <c r="AH108" s="5"/>
      <c r="AK108" s="47"/>
      <c r="AL108" s="23"/>
      <c r="AM108" s="27"/>
    </row>
    <row r="109" spans="2:39" ht="15.75" thickBot="1" x14ac:dyDescent="0.25">
      <c r="B109" s="244"/>
      <c r="C109" s="244"/>
      <c r="D109" s="12"/>
      <c r="E109" s="10"/>
      <c r="F109" s="1"/>
      <c r="G109" s="1"/>
      <c r="H109" s="1"/>
      <c r="I109" s="1"/>
      <c r="J109" s="1"/>
      <c r="K109" s="10"/>
      <c r="L109" s="10"/>
      <c r="M109" s="1"/>
      <c r="N109" s="1"/>
      <c r="O109" s="1"/>
      <c r="P109" s="1"/>
      <c r="Q109" s="1"/>
      <c r="R109" s="10"/>
      <c r="S109" s="10"/>
      <c r="T109" s="1"/>
      <c r="U109" s="1"/>
      <c r="V109" s="1"/>
      <c r="W109" s="1"/>
      <c r="X109" s="1"/>
      <c r="Y109" s="10"/>
      <c r="Z109" s="10"/>
      <c r="AA109" s="1"/>
      <c r="AB109" s="1"/>
      <c r="AC109" s="1"/>
      <c r="AD109" s="1"/>
      <c r="AE109" s="1"/>
      <c r="AF109" s="10"/>
      <c r="AG109" s="10"/>
      <c r="AH109" s="5"/>
      <c r="AK109" s="47"/>
      <c r="AL109" s="26"/>
      <c r="AM109" s="29">
        <v>31</v>
      </c>
    </row>
    <row r="110" spans="2:39" ht="15.75" thickBot="1" x14ac:dyDescent="0.25">
      <c r="B110" s="244"/>
      <c r="C110" s="244"/>
      <c r="AK110" s="47"/>
      <c r="AL110" s="23"/>
      <c r="AM110" s="28"/>
    </row>
    <row r="111" spans="2:39" x14ac:dyDescent="0.2">
      <c r="B111" s="244"/>
      <c r="C111" s="244"/>
      <c r="D111" s="194">
        <v>46539</v>
      </c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6"/>
      <c r="AJ111" s="134" t="s">
        <v>52</v>
      </c>
      <c r="AK111" s="47">
        <f>SUM(AK105+2.5-AM109)</f>
        <v>20.5</v>
      </c>
      <c r="AL111" s="23"/>
      <c r="AM111" s="24"/>
    </row>
    <row r="112" spans="2:39" x14ac:dyDescent="0.2">
      <c r="B112" s="244"/>
      <c r="C112" s="244"/>
      <c r="D112" s="4">
        <v>1</v>
      </c>
      <c r="E112" s="1">
        <v>2</v>
      </c>
      <c r="F112" s="1">
        <v>3</v>
      </c>
      <c r="G112" s="1">
        <v>4</v>
      </c>
      <c r="H112" s="10">
        <v>5</v>
      </c>
      <c r="I112" s="10">
        <v>6</v>
      </c>
      <c r="J112" s="1">
        <v>7</v>
      </c>
      <c r="K112" s="1">
        <v>8</v>
      </c>
      <c r="L112" s="1">
        <v>9</v>
      </c>
      <c r="M112" s="1">
        <v>10</v>
      </c>
      <c r="N112" s="1">
        <v>11</v>
      </c>
      <c r="O112" s="10">
        <v>12</v>
      </c>
      <c r="P112" s="10">
        <v>13</v>
      </c>
      <c r="Q112" s="1">
        <v>14</v>
      </c>
      <c r="R112" s="1">
        <v>15</v>
      </c>
      <c r="S112" s="1">
        <v>16</v>
      </c>
      <c r="T112" s="1">
        <v>17</v>
      </c>
      <c r="U112" s="1">
        <v>18</v>
      </c>
      <c r="V112" s="10">
        <v>19</v>
      </c>
      <c r="W112" s="10">
        <v>20</v>
      </c>
      <c r="X112" s="1">
        <v>21</v>
      </c>
      <c r="Y112" s="1">
        <v>22</v>
      </c>
      <c r="Z112" s="1">
        <v>23</v>
      </c>
      <c r="AA112" s="1">
        <v>24</v>
      </c>
      <c r="AB112" s="1">
        <v>25</v>
      </c>
      <c r="AC112" s="10">
        <v>26</v>
      </c>
      <c r="AD112" s="10">
        <v>27</v>
      </c>
      <c r="AE112" s="1">
        <v>28</v>
      </c>
      <c r="AF112" s="1">
        <v>29</v>
      </c>
      <c r="AG112" s="1">
        <v>30</v>
      </c>
      <c r="AH112" s="5"/>
      <c r="AK112" s="47"/>
      <c r="AL112" s="23"/>
      <c r="AM112" s="24"/>
    </row>
    <row r="113" spans="2:39" ht="21.75" thickBot="1" x14ac:dyDescent="0.35">
      <c r="B113" s="244"/>
      <c r="C113" s="244"/>
      <c r="D113" s="320" t="s">
        <v>76</v>
      </c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24"/>
      <c r="AK113" s="47"/>
      <c r="AL113" s="23"/>
      <c r="AM113" s="24"/>
    </row>
    <row r="114" spans="2:39" ht="15.75" thickBot="1" x14ac:dyDescent="0.25">
      <c r="B114" s="244"/>
      <c r="C114" s="244"/>
      <c r="D114" s="99"/>
      <c r="E114" s="102"/>
      <c r="F114" s="1"/>
      <c r="G114" s="1"/>
      <c r="H114" s="10"/>
      <c r="I114" s="10"/>
      <c r="J114" s="1"/>
      <c r="K114" s="1"/>
      <c r="L114" s="1"/>
      <c r="M114" s="1"/>
      <c r="N114" s="1"/>
      <c r="O114" s="10"/>
      <c r="P114" s="10"/>
      <c r="Q114" s="1"/>
      <c r="R114" s="1"/>
      <c r="S114" s="1"/>
      <c r="T114" s="1"/>
      <c r="U114" s="1"/>
      <c r="V114" s="10"/>
      <c r="W114" s="10"/>
      <c r="X114" s="1"/>
      <c r="Y114" s="1"/>
      <c r="Z114" s="1"/>
      <c r="AA114" s="1"/>
      <c r="AB114" s="1"/>
      <c r="AC114" s="10"/>
      <c r="AD114" s="10"/>
      <c r="AE114" s="1"/>
      <c r="AF114" s="1"/>
      <c r="AG114" s="1"/>
      <c r="AH114" s="5"/>
      <c r="AK114" s="47"/>
      <c r="AL114" s="23"/>
      <c r="AM114" s="27"/>
    </row>
    <row r="115" spans="2:39" ht="15.75" thickBot="1" x14ac:dyDescent="0.25">
      <c r="B115" s="244"/>
      <c r="C115" s="244"/>
      <c r="D115" s="99"/>
      <c r="E115" s="102"/>
      <c r="F115" s="1"/>
      <c r="G115" s="1"/>
      <c r="H115" s="10"/>
      <c r="I115" s="10"/>
      <c r="J115" s="1"/>
      <c r="K115" s="1"/>
      <c r="L115" s="1"/>
      <c r="M115" s="1"/>
      <c r="N115" s="1"/>
      <c r="O115" s="10"/>
      <c r="P115" s="10"/>
      <c r="Q115" s="1"/>
      <c r="R115" s="1"/>
      <c r="S115" s="1"/>
      <c r="T115" s="1"/>
      <c r="U115" s="1"/>
      <c r="V115" s="10"/>
      <c r="W115" s="10"/>
      <c r="X115" s="1"/>
      <c r="Y115" s="1"/>
      <c r="Z115" s="1"/>
      <c r="AA115" s="1"/>
      <c r="AB115" s="1"/>
      <c r="AC115" s="10"/>
      <c r="AD115" s="10"/>
      <c r="AE115" s="1"/>
      <c r="AF115" s="1"/>
      <c r="AG115" s="1"/>
      <c r="AH115" s="5"/>
      <c r="AK115" s="48"/>
      <c r="AL115" s="26"/>
      <c r="AM115" s="29">
        <v>30</v>
      </c>
    </row>
    <row r="116" spans="2:39" ht="35.25" thickBot="1" x14ac:dyDescent="0.55000000000000004">
      <c r="AI116" s="55"/>
      <c r="AJ116" s="55"/>
      <c r="AK116" s="54" t="s">
        <v>11</v>
      </c>
      <c r="AL116" s="136"/>
      <c r="AM116" s="28"/>
    </row>
    <row r="117" spans="2:39" ht="35.25" thickBot="1" x14ac:dyDescent="0.55000000000000004">
      <c r="D117" s="194">
        <v>46569</v>
      </c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6"/>
      <c r="AI117" s="55"/>
      <c r="AJ117" s="55" t="s">
        <v>53</v>
      </c>
      <c r="AK117" s="53">
        <f>SUM(AK111-AM115)</f>
        <v>-9.5</v>
      </c>
      <c r="AL117" s="136"/>
      <c r="AM117" s="24"/>
    </row>
    <row r="118" spans="2:39" x14ac:dyDescent="0.2">
      <c r="D118" s="16">
        <v>1</v>
      </c>
      <c r="E118" s="1">
        <v>2</v>
      </c>
      <c r="F118" s="10">
        <v>3</v>
      </c>
      <c r="G118" s="10">
        <v>4</v>
      </c>
      <c r="H118" s="1">
        <v>5</v>
      </c>
      <c r="I118" s="1">
        <v>6</v>
      </c>
      <c r="J118" s="1">
        <v>7</v>
      </c>
      <c r="K118" s="1">
        <v>8</v>
      </c>
      <c r="L118" s="1">
        <v>9</v>
      </c>
      <c r="M118" s="10">
        <v>10</v>
      </c>
      <c r="N118" s="10">
        <v>11</v>
      </c>
      <c r="O118" s="1">
        <v>12</v>
      </c>
      <c r="P118" s="1">
        <v>13</v>
      </c>
      <c r="Q118" s="1">
        <v>14</v>
      </c>
      <c r="R118" s="1">
        <v>15</v>
      </c>
      <c r="S118" s="1">
        <v>16</v>
      </c>
      <c r="T118" s="10">
        <v>17</v>
      </c>
      <c r="U118" s="10">
        <v>18</v>
      </c>
      <c r="V118" s="1">
        <v>19</v>
      </c>
      <c r="W118" s="1">
        <v>20</v>
      </c>
      <c r="X118" s="1">
        <v>21</v>
      </c>
      <c r="Y118" s="1">
        <v>22</v>
      </c>
      <c r="Z118" s="1">
        <v>23</v>
      </c>
      <c r="AA118" s="10">
        <v>24</v>
      </c>
      <c r="AB118" s="10">
        <v>25</v>
      </c>
      <c r="AC118" s="1">
        <v>26</v>
      </c>
      <c r="AD118" s="1">
        <v>27</v>
      </c>
      <c r="AE118" s="1">
        <v>28</v>
      </c>
      <c r="AF118" s="1">
        <v>29</v>
      </c>
      <c r="AG118" s="1">
        <v>30</v>
      </c>
      <c r="AH118" s="14">
        <v>31</v>
      </c>
      <c r="AK118" s="49"/>
      <c r="AL118" s="23"/>
      <c r="AM118" s="24"/>
    </row>
    <row r="119" spans="2:39" x14ac:dyDescent="0.2">
      <c r="D119" s="20" t="s">
        <v>1</v>
      </c>
      <c r="E119" s="1"/>
      <c r="F119" s="10"/>
      <c r="G119" s="10"/>
      <c r="H119" s="1"/>
      <c r="I119" s="1"/>
      <c r="J119" s="1"/>
      <c r="K119" s="1"/>
      <c r="L119" s="1"/>
      <c r="M119" s="10"/>
      <c r="N119" s="10"/>
      <c r="O119" s="1"/>
      <c r="P119" s="1"/>
      <c r="Q119" s="1"/>
      <c r="R119" s="1"/>
      <c r="S119" s="1"/>
      <c r="T119" s="10"/>
      <c r="U119" s="10"/>
      <c r="V119" s="1"/>
      <c r="W119" s="1"/>
      <c r="X119" s="1"/>
      <c r="Y119" s="1"/>
      <c r="Z119" s="1"/>
      <c r="AA119" s="10"/>
      <c r="AB119" s="10"/>
      <c r="AC119" s="1"/>
      <c r="AD119" s="1"/>
      <c r="AE119" s="1"/>
      <c r="AF119" s="1"/>
      <c r="AG119" s="1"/>
      <c r="AH119" s="14"/>
      <c r="AK119" s="47"/>
      <c r="AL119" s="23"/>
      <c r="AM119" s="24"/>
    </row>
    <row r="120" spans="2:39" x14ac:dyDescent="0.2">
      <c r="D120" s="16"/>
      <c r="E120" s="1"/>
      <c r="F120" s="10"/>
      <c r="G120" s="10"/>
      <c r="H120" s="1"/>
      <c r="I120" s="1"/>
      <c r="J120" s="1"/>
      <c r="K120" s="1"/>
      <c r="L120" s="1"/>
      <c r="M120" s="10"/>
      <c r="N120" s="10"/>
      <c r="O120" s="1"/>
      <c r="P120" s="1"/>
      <c r="Q120" s="1"/>
      <c r="R120" s="1"/>
      <c r="S120" s="1"/>
      <c r="T120" s="10"/>
      <c r="U120" s="10"/>
      <c r="V120" s="1"/>
      <c r="W120" s="1"/>
      <c r="X120" s="1"/>
      <c r="Y120" s="1"/>
      <c r="Z120" s="1"/>
      <c r="AA120" s="10"/>
      <c r="AB120" s="10"/>
      <c r="AC120" s="1"/>
      <c r="AD120" s="1"/>
      <c r="AE120" s="1"/>
      <c r="AF120" s="1"/>
      <c r="AG120" s="1"/>
      <c r="AH120" s="14"/>
      <c r="AK120" s="47"/>
      <c r="AL120" s="23"/>
      <c r="AM120" s="24"/>
    </row>
    <row r="121" spans="2:39" ht="15.75" thickBot="1" x14ac:dyDescent="0.25">
      <c r="D121" s="17"/>
      <c r="E121" s="7"/>
      <c r="F121" s="11"/>
      <c r="G121" s="11"/>
      <c r="H121" s="7"/>
      <c r="I121" s="7"/>
      <c r="J121" s="7"/>
      <c r="K121" s="7"/>
      <c r="L121" s="7"/>
      <c r="M121" s="11"/>
      <c r="N121" s="11"/>
      <c r="O121" s="7"/>
      <c r="P121" s="7"/>
      <c r="Q121" s="7"/>
      <c r="R121" s="7"/>
      <c r="S121" s="7"/>
      <c r="T121" s="11"/>
      <c r="U121" s="11"/>
      <c r="V121" s="7"/>
      <c r="W121" s="7"/>
      <c r="X121" s="7"/>
      <c r="Y121" s="7"/>
      <c r="Z121" s="7"/>
      <c r="AA121" s="11"/>
      <c r="AB121" s="11"/>
      <c r="AC121" s="7"/>
      <c r="AD121" s="7"/>
      <c r="AE121" s="7"/>
      <c r="AF121" s="7"/>
      <c r="AG121" s="7"/>
      <c r="AH121" s="15"/>
      <c r="AK121" s="47"/>
      <c r="AL121" s="23"/>
      <c r="AM121" s="24"/>
    </row>
    <row r="124" spans="2:39" x14ac:dyDescent="0.2">
      <c r="AF124">
        <v>6</v>
      </c>
    </row>
    <row r="125" spans="2:39" x14ac:dyDescent="0.2">
      <c r="AF125">
        <v>31</v>
      </c>
    </row>
    <row r="126" spans="2:39" x14ac:dyDescent="0.2">
      <c r="AF126">
        <v>30</v>
      </c>
    </row>
    <row r="127" spans="2:39" x14ac:dyDescent="0.2">
      <c r="AF127">
        <v>7</v>
      </c>
    </row>
    <row r="128" spans="2:39" x14ac:dyDescent="0.2">
      <c r="AF128">
        <f>SUM(AF124:AF127)</f>
        <v>74</v>
      </c>
    </row>
    <row r="132" spans="4:4" x14ac:dyDescent="0.2">
      <c r="D132" t="s">
        <v>20</v>
      </c>
    </row>
    <row r="133" spans="4:4" x14ac:dyDescent="0.2">
      <c r="D133" t="s">
        <v>21</v>
      </c>
    </row>
    <row r="134" spans="4:4" x14ac:dyDescent="0.2">
      <c r="D134" t="s">
        <v>22</v>
      </c>
    </row>
    <row r="135" spans="4:4" x14ac:dyDescent="0.2">
      <c r="D135" t="s">
        <v>23</v>
      </c>
    </row>
    <row r="136" spans="4:4" x14ac:dyDescent="0.2">
      <c r="D136" t="s">
        <v>24</v>
      </c>
    </row>
    <row r="137" spans="4:4" x14ac:dyDescent="0.2">
      <c r="D137" t="s">
        <v>25</v>
      </c>
    </row>
    <row r="138" spans="4:4" x14ac:dyDescent="0.2">
      <c r="D138" t="s">
        <v>26</v>
      </c>
    </row>
    <row r="139" spans="4:4" x14ac:dyDescent="0.2">
      <c r="D139" t="s">
        <v>27</v>
      </c>
    </row>
    <row r="140" spans="4:4" x14ac:dyDescent="0.2">
      <c r="D140" s="86" t="s">
        <v>28</v>
      </c>
    </row>
  </sheetData>
  <mergeCells count="80">
    <mergeCell ref="L55:R55"/>
    <mergeCell ref="D65:G65"/>
    <mergeCell ref="H65:S65"/>
    <mergeCell ref="D41:G41"/>
    <mergeCell ref="D107:AH107"/>
    <mergeCell ref="O72:P72"/>
    <mergeCell ref="S72:U72"/>
    <mergeCell ref="V72:W72"/>
    <mergeCell ref="AC73:AD73"/>
    <mergeCell ref="D75:AH75"/>
    <mergeCell ref="D77:W77"/>
    <mergeCell ref="X77:AH77"/>
    <mergeCell ref="Z72:AD72"/>
    <mergeCell ref="H66:I66"/>
    <mergeCell ref="V66:X66"/>
    <mergeCell ref="Y66:Z66"/>
    <mergeCell ref="F89:X89"/>
    <mergeCell ref="Y89:AE89"/>
    <mergeCell ref="D89:E89"/>
    <mergeCell ref="J78:L78"/>
    <mergeCell ref="M78:N78"/>
    <mergeCell ref="D81:AH81"/>
    <mergeCell ref="D87:AH87"/>
    <mergeCell ref="D83:F83"/>
    <mergeCell ref="G83:AH83"/>
    <mergeCell ref="X78:AH78"/>
    <mergeCell ref="D113:AG113"/>
    <mergeCell ref="D117:AH117"/>
    <mergeCell ref="D93:AH93"/>
    <mergeCell ref="D95:AH95"/>
    <mergeCell ref="D99:AH99"/>
    <mergeCell ref="D101:AF101"/>
    <mergeCell ref="D105:AH105"/>
    <mergeCell ref="D111:AH111"/>
    <mergeCell ref="D69:AH69"/>
    <mergeCell ref="E71:P71"/>
    <mergeCell ref="Q71:AG71"/>
    <mergeCell ref="D63:AH63"/>
    <mergeCell ref="BL64:CP64"/>
    <mergeCell ref="T65:AH65"/>
    <mergeCell ref="D57:AH57"/>
    <mergeCell ref="Q60:S60"/>
    <mergeCell ref="T60:U60"/>
    <mergeCell ref="D59:U59"/>
    <mergeCell ref="V59:AG59"/>
    <mergeCell ref="D33:AH33"/>
    <mergeCell ref="D35:AH35"/>
    <mergeCell ref="D39:AH39"/>
    <mergeCell ref="I41:AG41"/>
    <mergeCell ref="B45:C115"/>
    <mergeCell ref="D45:AH45"/>
    <mergeCell ref="D47:AH47"/>
    <mergeCell ref="P48:R48"/>
    <mergeCell ref="S48:T48"/>
    <mergeCell ref="W48:X48"/>
    <mergeCell ref="AG48:AH48"/>
    <mergeCell ref="D51:AH51"/>
    <mergeCell ref="P54:Q54"/>
    <mergeCell ref="T54:V54"/>
    <mergeCell ref="W54:X54"/>
    <mergeCell ref="D53:AG53"/>
    <mergeCell ref="D29:F29"/>
    <mergeCell ref="G29:AG29"/>
    <mergeCell ref="D15:AH15"/>
    <mergeCell ref="E17:M17"/>
    <mergeCell ref="N17:AE17"/>
    <mergeCell ref="Y18:AE18"/>
    <mergeCell ref="D21:AH21"/>
    <mergeCell ref="D23:AH23"/>
    <mergeCell ref="D24:K24"/>
    <mergeCell ref="L24:W24"/>
    <mergeCell ref="Z24:AB24"/>
    <mergeCell ref="AC24:AE24"/>
    <mergeCell ref="D27:AH27"/>
    <mergeCell ref="P13:R13"/>
    <mergeCell ref="D1:AH1"/>
    <mergeCell ref="D4:AH4"/>
    <mergeCell ref="D8:AH8"/>
    <mergeCell ref="D11:AA11"/>
    <mergeCell ref="AB11:AH11"/>
  </mergeCells>
  <pageMargins left="0.7" right="0.7" top="0.75" bottom="0.75" header="0.3" footer="0.3"/>
  <pageSetup scale="1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6286-5403-4842-B93C-34D3A9AF14ED}">
  <sheetPr>
    <pageSetUpPr fitToPage="1"/>
  </sheetPr>
  <dimension ref="A1:CP140"/>
  <sheetViews>
    <sheetView topLeftCell="A39" zoomScale="80" zoomScaleNormal="80" workbookViewId="0">
      <selection activeCell="B116" sqref="B116"/>
    </sheetView>
  </sheetViews>
  <sheetFormatPr defaultRowHeight="15" x14ac:dyDescent="0.2"/>
  <cols>
    <col min="20" max="20" width="10.625" customWidth="1"/>
    <col min="35" max="35" width="15.19921875" style="146" customWidth="1"/>
    <col min="36" max="36" width="15.46875" style="146" customWidth="1"/>
    <col min="37" max="37" width="13.5859375" style="50" bestFit="1" customWidth="1"/>
    <col min="38" max="38" width="8.609375" style="146"/>
    <col min="39" max="39" width="8.609375" style="25"/>
  </cols>
  <sheetData>
    <row r="1" spans="4:39" x14ac:dyDescent="0.2">
      <c r="D1" s="194">
        <v>45992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6"/>
      <c r="AK1" s="47">
        <v>68</v>
      </c>
      <c r="AL1" s="23"/>
      <c r="AM1" s="24"/>
    </row>
    <row r="2" spans="4:39" x14ac:dyDescent="0.2">
      <c r="D2" s="111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3"/>
      <c r="AK2" s="47"/>
      <c r="AL2" s="23"/>
      <c r="AM2" s="24"/>
    </row>
    <row r="3" spans="4:39" x14ac:dyDescent="0.2">
      <c r="D3" s="30">
        <v>1</v>
      </c>
      <c r="E3" s="31">
        <v>2</v>
      </c>
      <c r="F3" s="31">
        <v>3</v>
      </c>
      <c r="G3" s="31">
        <v>4</v>
      </c>
      <c r="H3" s="31">
        <v>5</v>
      </c>
      <c r="I3" s="10">
        <v>6</v>
      </c>
      <c r="J3" s="10">
        <v>7</v>
      </c>
      <c r="K3" s="31">
        <v>8</v>
      </c>
      <c r="L3" s="31">
        <v>9</v>
      </c>
      <c r="M3" s="31">
        <v>10</v>
      </c>
      <c r="N3" s="31">
        <v>11</v>
      </c>
      <c r="O3" s="31">
        <v>12</v>
      </c>
      <c r="P3" s="10">
        <v>13</v>
      </c>
      <c r="Q3" s="10">
        <v>14</v>
      </c>
      <c r="R3" s="31">
        <v>15</v>
      </c>
      <c r="S3" s="31">
        <v>16</v>
      </c>
      <c r="T3" s="31">
        <v>17</v>
      </c>
      <c r="U3" s="31">
        <v>18</v>
      </c>
      <c r="V3" s="31">
        <v>19</v>
      </c>
      <c r="W3" s="10">
        <v>20</v>
      </c>
      <c r="X3" s="10">
        <v>21</v>
      </c>
      <c r="Y3" s="31">
        <v>22</v>
      </c>
      <c r="Z3" s="31">
        <v>23</v>
      </c>
      <c r="AA3" s="31">
        <v>24</v>
      </c>
      <c r="AB3" s="31">
        <v>25</v>
      </c>
      <c r="AC3" s="31">
        <v>26</v>
      </c>
      <c r="AD3" s="10">
        <v>27</v>
      </c>
      <c r="AE3" s="10">
        <v>28</v>
      </c>
      <c r="AF3" s="31">
        <v>29</v>
      </c>
      <c r="AG3" s="31">
        <v>30</v>
      </c>
      <c r="AH3" s="34">
        <v>31</v>
      </c>
      <c r="AK3" s="47"/>
      <c r="AL3" s="23"/>
      <c r="AM3" s="24"/>
    </row>
    <row r="4" spans="4:39" x14ac:dyDescent="0.2">
      <c r="D4" s="223" t="s">
        <v>5</v>
      </c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5"/>
      <c r="AK4" s="47"/>
      <c r="AL4" s="23"/>
      <c r="AM4" s="24"/>
    </row>
    <row r="5" spans="4:39" ht="15.75" thickBot="1" x14ac:dyDescent="0.25">
      <c r="D5" s="30"/>
      <c r="E5" s="31"/>
      <c r="F5" s="31"/>
      <c r="G5" s="31"/>
      <c r="H5" s="31"/>
      <c r="I5" s="10"/>
      <c r="J5" s="10"/>
      <c r="K5" s="31"/>
      <c r="L5" s="31"/>
      <c r="M5" s="31"/>
      <c r="N5" s="31"/>
      <c r="O5" s="31"/>
      <c r="P5" s="10"/>
      <c r="Q5" s="10"/>
      <c r="R5" s="31"/>
      <c r="S5" s="31"/>
      <c r="T5" s="31"/>
      <c r="U5" s="31"/>
      <c r="V5" s="31"/>
      <c r="W5" s="10"/>
      <c r="X5" s="10"/>
      <c r="Y5" s="31"/>
      <c r="Z5" s="31"/>
      <c r="AA5" s="31"/>
      <c r="AB5" s="31"/>
      <c r="AC5" s="31"/>
      <c r="AD5" s="10"/>
      <c r="AE5" s="10"/>
      <c r="AF5" s="31"/>
      <c r="AG5" s="31"/>
      <c r="AH5" s="34"/>
      <c r="AK5" s="47"/>
      <c r="AL5" s="23"/>
      <c r="AM5" s="24"/>
    </row>
    <row r="6" spans="4:39" ht="15.75" thickBot="1" x14ac:dyDescent="0.25">
      <c r="D6" s="32"/>
      <c r="E6" s="33"/>
      <c r="F6" s="33"/>
      <c r="G6" s="33"/>
      <c r="H6" s="33"/>
      <c r="I6" s="11"/>
      <c r="J6" s="11"/>
      <c r="K6" s="33"/>
      <c r="L6" s="33"/>
      <c r="M6" s="33"/>
      <c r="N6" s="33"/>
      <c r="O6" s="33"/>
      <c r="P6" s="11"/>
      <c r="Q6" s="11"/>
      <c r="R6" s="33"/>
      <c r="S6" s="33"/>
      <c r="T6" s="33"/>
      <c r="U6" s="33"/>
      <c r="V6" s="33"/>
      <c r="W6" s="11"/>
      <c r="X6" s="11"/>
      <c r="Y6" s="33"/>
      <c r="Z6" s="33"/>
      <c r="AA6" s="33"/>
      <c r="AB6" s="33"/>
      <c r="AC6" s="33"/>
      <c r="AD6" s="11"/>
      <c r="AE6" s="11"/>
      <c r="AF6" s="33"/>
      <c r="AG6" s="33"/>
      <c r="AH6" s="35"/>
      <c r="AK6" s="47"/>
      <c r="AL6" s="23"/>
      <c r="AM6" s="29">
        <v>0</v>
      </c>
    </row>
    <row r="7" spans="4:39" ht="15.75" thickBot="1" x14ac:dyDescent="0.25">
      <c r="AK7" s="47"/>
      <c r="AL7" s="23"/>
      <c r="AM7" s="24"/>
    </row>
    <row r="8" spans="4:39" x14ac:dyDescent="0.2">
      <c r="D8" s="194">
        <v>46023</v>
      </c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6"/>
      <c r="AK8" s="47">
        <f>SUM(AK1+2.5-AM6)</f>
        <v>70.5</v>
      </c>
      <c r="AL8" s="23"/>
      <c r="AM8" s="24"/>
    </row>
    <row r="9" spans="4:39" x14ac:dyDescent="0.2">
      <c r="D9" s="111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3"/>
      <c r="AK9" s="47"/>
      <c r="AL9" s="23"/>
      <c r="AM9" s="24"/>
    </row>
    <row r="10" spans="4:39" x14ac:dyDescent="0.2">
      <c r="D10" s="30">
        <v>1</v>
      </c>
      <c r="E10" s="31">
        <v>2</v>
      </c>
      <c r="F10" s="38">
        <v>3</v>
      </c>
      <c r="G10" s="38">
        <v>4</v>
      </c>
      <c r="H10" s="31">
        <v>5</v>
      </c>
      <c r="I10" s="31">
        <v>6</v>
      </c>
      <c r="J10" s="31">
        <v>7</v>
      </c>
      <c r="K10" s="31">
        <v>8</v>
      </c>
      <c r="L10" s="31">
        <v>9</v>
      </c>
      <c r="M10" s="38">
        <v>10</v>
      </c>
      <c r="N10" s="38">
        <v>11</v>
      </c>
      <c r="O10" s="31">
        <v>12</v>
      </c>
      <c r="P10" s="31">
        <v>13</v>
      </c>
      <c r="Q10" s="31">
        <v>14</v>
      </c>
      <c r="R10" s="31">
        <v>15</v>
      </c>
      <c r="S10" s="31">
        <v>16</v>
      </c>
      <c r="T10" s="38">
        <v>17</v>
      </c>
      <c r="U10" s="38">
        <v>18</v>
      </c>
      <c r="V10" s="31">
        <v>19</v>
      </c>
      <c r="W10" s="31">
        <v>20</v>
      </c>
      <c r="X10" s="31">
        <v>21</v>
      </c>
      <c r="Y10" s="31">
        <v>22</v>
      </c>
      <c r="Z10" s="31">
        <v>23</v>
      </c>
      <c r="AA10" s="38">
        <v>24</v>
      </c>
      <c r="AB10" s="38">
        <v>25</v>
      </c>
      <c r="AC10" s="31">
        <v>26</v>
      </c>
      <c r="AD10" s="31">
        <v>27</v>
      </c>
      <c r="AE10" s="31">
        <v>28</v>
      </c>
      <c r="AF10" s="31">
        <v>29</v>
      </c>
      <c r="AG10" s="31">
        <v>30</v>
      </c>
      <c r="AH10" s="40">
        <v>31</v>
      </c>
      <c r="AK10" s="47"/>
      <c r="AL10" s="23"/>
      <c r="AM10" s="24"/>
    </row>
    <row r="11" spans="4:39" x14ac:dyDescent="0.2">
      <c r="D11" s="223" t="s">
        <v>5</v>
      </c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6"/>
      <c r="AB11" s="227" t="s">
        <v>37</v>
      </c>
      <c r="AC11" s="228"/>
      <c r="AD11" s="228"/>
      <c r="AE11" s="228"/>
      <c r="AF11" s="228"/>
      <c r="AG11" s="228"/>
      <c r="AH11" s="229"/>
      <c r="AK11" s="47"/>
      <c r="AL11" s="23"/>
      <c r="AM11" s="24"/>
    </row>
    <row r="12" spans="4:39" ht="15.75" thickBot="1" x14ac:dyDescent="0.25">
      <c r="D12" s="30"/>
      <c r="E12" s="31"/>
      <c r="F12" s="38"/>
      <c r="G12" s="38"/>
      <c r="H12" s="31"/>
      <c r="I12" s="31"/>
      <c r="J12" s="31"/>
      <c r="K12" s="31"/>
      <c r="L12" s="31"/>
      <c r="M12" s="38"/>
      <c r="N12" s="38"/>
      <c r="O12" s="31"/>
      <c r="P12" s="31"/>
      <c r="Q12" s="31"/>
      <c r="R12" s="31"/>
      <c r="S12" s="31"/>
      <c r="T12" s="38"/>
      <c r="U12" s="38"/>
      <c r="V12" s="31"/>
      <c r="W12" s="31"/>
      <c r="X12" s="31"/>
      <c r="Y12" s="31"/>
      <c r="Z12" s="33"/>
      <c r="AA12" s="39"/>
      <c r="AB12" s="39"/>
      <c r="AC12" s="33"/>
      <c r="AD12" s="33"/>
      <c r="AE12" s="33"/>
      <c r="AF12" s="33"/>
      <c r="AG12" s="33"/>
      <c r="AH12" s="41"/>
      <c r="AK12" s="47"/>
      <c r="AL12" s="23"/>
      <c r="AM12" s="24"/>
    </row>
    <row r="13" spans="4:39" ht="15.75" thickBot="1" x14ac:dyDescent="0.25">
      <c r="D13" s="32"/>
      <c r="E13" s="33"/>
      <c r="F13" s="39"/>
      <c r="G13" s="39"/>
      <c r="H13" s="33"/>
      <c r="I13" s="33"/>
      <c r="J13" s="33"/>
      <c r="K13" s="33"/>
      <c r="L13" s="33"/>
      <c r="M13" s="39"/>
      <c r="N13" s="39"/>
      <c r="O13" s="45"/>
      <c r="P13" s="221" t="s">
        <v>8</v>
      </c>
      <c r="Q13" s="222"/>
      <c r="R13" s="222"/>
      <c r="S13" s="46"/>
      <c r="T13" s="39"/>
      <c r="U13" s="39"/>
      <c r="V13" s="33"/>
      <c r="W13" s="33"/>
      <c r="X13" s="33"/>
      <c r="Y13" s="33"/>
      <c r="Z13" s="33"/>
      <c r="AA13" s="39"/>
      <c r="AB13" s="39"/>
      <c r="AC13" s="33"/>
      <c r="AD13" s="33"/>
      <c r="AE13" s="33"/>
      <c r="AF13" s="33"/>
      <c r="AG13" s="33"/>
      <c r="AH13" s="41"/>
      <c r="AK13" s="47"/>
      <c r="AL13" s="23"/>
      <c r="AM13" s="29">
        <v>7</v>
      </c>
    </row>
    <row r="14" spans="4:39" ht="15.75" thickBot="1" x14ac:dyDescent="0.25">
      <c r="AK14" s="47"/>
      <c r="AL14" s="23"/>
      <c r="AM14" s="24"/>
    </row>
    <row r="15" spans="4:39" x14ac:dyDescent="0.2">
      <c r="D15" s="194">
        <v>46054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6"/>
      <c r="AK15" s="47">
        <f>SUM(AK8+2.5-AM13)</f>
        <v>66</v>
      </c>
      <c r="AL15" s="23"/>
      <c r="AM15" s="24"/>
    </row>
    <row r="16" spans="4:39" x14ac:dyDescent="0.2">
      <c r="D16" s="42">
        <v>1</v>
      </c>
      <c r="E16" s="1">
        <v>2</v>
      </c>
      <c r="F16" s="1">
        <v>3</v>
      </c>
      <c r="G16" s="1">
        <v>4</v>
      </c>
      <c r="H16" s="31">
        <v>5</v>
      </c>
      <c r="I16" s="31">
        <v>6</v>
      </c>
      <c r="J16" s="38">
        <v>7</v>
      </c>
      <c r="K16" s="38">
        <v>8</v>
      </c>
      <c r="L16" s="31">
        <v>9</v>
      </c>
      <c r="M16" s="31">
        <v>10</v>
      </c>
      <c r="N16" s="31">
        <v>11</v>
      </c>
      <c r="O16" s="31">
        <v>12</v>
      </c>
      <c r="P16" s="31">
        <v>13</v>
      </c>
      <c r="Q16" s="38">
        <v>14</v>
      </c>
      <c r="R16" s="38">
        <v>15</v>
      </c>
      <c r="S16" s="31">
        <v>16</v>
      </c>
      <c r="T16" s="31">
        <v>17</v>
      </c>
      <c r="U16" s="31">
        <v>18</v>
      </c>
      <c r="V16" s="31">
        <v>19</v>
      </c>
      <c r="W16" s="31">
        <v>20</v>
      </c>
      <c r="X16" s="38">
        <v>21</v>
      </c>
      <c r="Y16" s="38">
        <v>22</v>
      </c>
      <c r="Z16" s="31">
        <v>23</v>
      </c>
      <c r="AA16" s="31">
        <v>24</v>
      </c>
      <c r="AB16" s="31">
        <v>25</v>
      </c>
      <c r="AC16" s="31">
        <v>26</v>
      </c>
      <c r="AD16" s="31">
        <v>27</v>
      </c>
      <c r="AE16" s="38">
        <v>28</v>
      </c>
      <c r="AF16" s="38">
        <v>29</v>
      </c>
      <c r="AG16" s="1"/>
      <c r="AH16" s="5"/>
      <c r="AK16" s="47"/>
      <c r="AL16" s="23"/>
      <c r="AM16" s="24"/>
    </row>
    <row r="17" spans="4:41" x14ac:dyDescent="0.2">
      <c r="D17" s="18"/>
      <c r="E17" s="233" t="s">
        <v>5</v>
      </c>
      <c r="F17" s="224"/>
      <c r="G17" s="224"/>
      <c r="H17" s="224"/>
      <c r="I17" s="224"/>
      <c r="J17" s="224"/>
      <c r="K17" s="224"/>
      <c r="L17" s="224"/>
      <c r="M17" s="226"/>
      <c r="N17" s="234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6"/>
      <c r="AF17" s="38"/>
      <c r="AG17" s="1"/>
      <c r="AH17" s="5"/>
      <c r="AK17" s="47"/>
      <c r="AL17" s="23"/>
      <c r="AM17" s="24"/>
    </row>
    <row r="18" spans="4:41" ht="15.75" thickBot="1" x14ac:dyDescent="0.25">
      <c r="D18" s="18" t="s">
        <v>4</v>
      </c>
      <c r="E18" s="1"/>
      <c r="F18" s="1"/>
      <c r="G18" s="1"/>
      <c r="H18" s="31"/>
      <c r="I18" s="31"/>
      <c r="J18" s="38"/>
      <c r="K18" s="38"/>
      <c r="L18" s="31"/>
      <c r="M18" s="31"/>
      <c r="N18" s="31"/>
      <c r="O18" s="31"/>
      <c r="P18" s="31"/>
      <c r="Q18" s="38"/>
      <c r="R18" s="38"/>
      <c r="S18" s="31"/>
      <c r="T18" s="31"/>
      <c r="U18" s="31"/>
      <c r="V18" s="31"/>
      <c r="W18" s="31"/>
      <c r="X18" s="38"/>
      <c r="Y18" s="237" t="s">
        <v>7</v>
      </c>
      <c r="Z18" s="238"/>
      <c r="AA18" s="238"/>
      <c r="AB18" s="238"/>
      <c r="AC18" s="238"/>
      <c r="AD18" s="238"/>
      <c r="AE18" s="238"/>
      <c r="AF18" s="110"/>
      <c r="AG18" s="1"/>
      <c r="AH18" s="5"/>
      <c r="AK18" s="47"/>
      <c r="AL18" s="23"/>
      <c r="AM18" s="24"/>
    </row>
    <row r="19" spans="4:41" ht="15.75" thickBot="1" x14ac:dyDescent="0.25">
      <c r="D19" s="19"/>
      <c r="E19" s="7"/>
      <c r="F19" s="7"/>
      <c r="G19" s="7"/>
      <c r="H19" s="33"/>
      <c r="I19" s="33"/>
      <c r="J19" s="39"/>
      <c r="K19" s="39"/>
      <c r="L19" s="22" t="s">
        <v>9</v>
      </c>
      <c r="M19" s="33"/>
      <c r="N19" s="33"/>
      <c r="O19" s="33"/>
      <c r="P19" s="33"/>
      <c r="Q19" s="39"/>
      <c r="R19" s="39"/>
      <c r="S19" s="33"/>
      <c r="T19" s="33"/>
      <c r="U19" s="33"/>
      <c r="V19" s="33"/>
      <c r="W19" s="33"/>
      <c r="X19" s="39"/>
      <c r="Y19" s="39"/>
      <c r="Z19" s="33"/>
      <c r="AA19" s="33"/>
      <c r="AB19" s="33"/>
      <c r="AC19" s="33"/>
      <c r="AD19" s="33"/>
      <c r="AE19" s="39"/>
      <c r="AF19" s="39"/>
      <c r="AG19" s="7"/>
      <c r="AH19" s="8"/>
      <c r="AK19" s="47"/>
      <c r="AL19" s="23"/>
      <c r="AM19" s="29">
        <v>1</v>
      </c>
    </row>
    <row r="20" spans="4:41" ht="15.75" thickBot="1" x14ac:dyDescent="0.25">
      <c r="AK20" s="47"/>
      <c r="AL20" s="23"/>
      <c r="AM20" s="28"/>
    </row>
    <row r="21" spans="4:41" x14ac:dyDescent="0.2">
      <c r="D21" s="194">
        <v>46082</v>
      </c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6"/>
      <c r="AJ21" s="146" t="s">
        <v>0</v>
      </c>
      <c r="AK21" s="47">
        <f>SUM(AK15+2.5-AM19)</f>
        <v>67.5</v>
      </c>
      <c r="AL21" s="23"/>
      <c r="AM21" s="24"/>
    </row>
    <row r="22" spans="4:41" x14ac:dyDescent="0.2">
      <c r="D22" s="42">
        <v>1</v>
      </c>
      <c r="E22" s="1">
        <v>2</v>
      </c>
      <c r="F22" s="31">
        <v>3</v>
      </c>
      <c r="G22" s="31">
        <v>4</v>
      </c>
      <c r="H22" s="31">
        <v>5</v>
      </c>
      <c r="I22" s="31">
        <v>6</v>
      </c>
      <c r="J22" s="38">
        <v>7</v>
      </c>
      <c r="K22" s="38">
        <v>8</v>
      </c>
      <c r="L22" s="31">
        <v>9</v>
      </c>
      <c r="M22" s="31">
        <v>10</v>
      </c>
      <c r="N22" s="31">
        <v>11</v>
      </c>
      <c r="O22" s="31">
        <v>12</v>
      </c>
      <c r="P22" s="31">
        <v>13</v>
      </c>
      <c r="Q22" s="38">
        <v>14</v>
      </c>
      <c r="R22" s="38">
        <v>15</v>
      </c>
      <c r="S22" s="31">
        <v>16</v>
      </c>
      <c r="T22" s="31">
        <v>17</v>
      </c>
      <c r="U22" s="31">
        <v>18</v>
      </c>
      <c r="V22" s="31">
        <v>19</v>
      </c>
      <c r="W22" s="31">
        <v>20</v>
      </c>
      <c r="X22" s="38">
        <v>21</v>
      </c>
      <c r="Y22" s="38">
        <v>22</v>
      </c>
      <c r="Z22" s="31">
        <v>23</v>
      </c>
      <c r="AA22" s="31">
        <v>24</v>
      </c>
      <c r="AB22" s="31">
        <v>25</v>
      </c>
      <c r="AC22" s="31">
        <v>26</v>
      </c>
      <c r="AD22" s="31">
        <v>27</v>
      </c>
      <c r="AE22" s="38">
        <v>28</v>
      </c>
      <c r="AF22" s="38">
        <v>29</v>
      </c>
      <c r="AG22" s="31">
        <v>30</v>
      </c>
      <c r="AH22" s="34">
        <v>31</v>
      </c>
      <c r="AK22" s="47"/>
      <c r="AL22" s="23"/>
      <c r="AM22" s="24"/>
    </row>
    <row r="23" spans="4:41" x14ac:dyDescent="0.2">
      <c r="D23" s="223" t="s">
        <v>5</v>
      </c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5"/>
      <c r="AK23" s="47"/>
      <c r="AL23" s="23"/>
      <c r="AM23" s="24"/>
    </row>
    <row r="24" spans="4:41" ht="15.75" thickBot="1" x14ac:dyDescent="0.25">
      <c r="D24" s="237" t="s">
        <v>6</v>
      </c>
      <c r="E24" s="239"/>
      <c r="F24" s="239"/>
      <c r="G24" s="239"/>
      <c r="H24" s="239"/>
      <c r="I24" s="239"/>
      <c r="J24" s="239"/>
      <c r="K24" s="240"/>
      <c r="L24" s="241" t="s">
        <v>10</v>
      </c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3"/>
      <c r="X24" s="38"/>
      <c r="Y24" s="38"/>
      <c r="Z24" s="237" t="s">
        <v>13</v>
      </c>
      <c r="AA24" s="239"/>
      <c r="AB24" s="239"/>
      <c r="AC24" s="237" t="s">
        <v>14</v>
      </c>
      <c r="AD24" s="239"/>
      <c r="AE24" s="239"/>
      <c r="AF24" s="39"/>
      <c r="AG24" s="31"/>
      <c r="AH24" s="34"/>
      <c r="AK24" s="47"/>
      <c r="AL24" s="23"/>
      <c r="AM24" s="24"/>
    </row>
    <row r="25" spans="4:41" ht="15.75" thickBot="1" x14ac:dyDescent="0.25">
      <c r="D25" s="43"/>
      <c r="E25" s="7"/>
      <c r="F25" s="33"/>
      <c r="G25" s="33"/>
      <c r="H25" s="33"/>
      <c r="I25" s="33"/>
      <c r="J25" s="39"/>
      <c r="K25" s="39"/>
      <c r="L25" s="33"/>
      <c r="M25" s="33"/>
      <c r="N25" s="33"/>
      <c r="O25" s="33"/>
      <c r="P25" s="33"/>
      <c r="Q25" s="39"/>
      <c r="R25" s="39"/>
      <c r="S25" s="33"/>
      <c r="T25" s="33"/>
      <c r="U25" s="33"/>
      <c r="V25" s="33"/>
      <c r="W25" s="33"/>
      <c r="X25" s="39"/>
      <c r="Y25" s="39"/>
      <c r="Z25" s="33"/>
      <c r="AA25" s="33"/>
      <c r="AB25" s="33"/>
      <c r="AC25" s="33"/>
      <c r="AD25" s="33"/>
      <c r="AE25" s="39"/>
      <c r="AF25" s="39"/>
      <c r="AG25" s="33"/>
      <c r="AH25" s="35"/>
      <c r="AK25" s="47"/>
      <c r="AL25" s="23"/>
      <c r="AM25" s="29">
        <v>0</v>
      </c>
    </row>
    <row r="26" spans="4:41" ht="30" thickBot="1" x14ac:dyDescent="0.4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K26" s="47"/>
      <c r="AL26" s="23"/>
      <c r="AM26" s="28"/>
      <c r="AO26" s="126" t="s">
        <v>42</v>
      </c>
    </row>
    <row r="27" spans="4:41" ht="30" thickBot="1" x14ac:dyDescent="0.45">
      <c r="D27" s="190">
        <v>46113</v>
      </c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2"/>
      <c r="AG27" s="192"/>
      <c r="AH27" s="193"/>
      <c r="AJ27" s="146" t="s">
        <v>50</v>
      </c>
      <c r="AK27" s="47">
        <v>69</v>
      </c>
      <c r="AL27" s="23"/>
      <c r="AM27" s="24"/>
      <c r="AO27" s="126">
        <v>23</v>
      </c>
    </row>
    <row r="28" spans="4:41" ht="29.25" x14ac:dyDescent="0.4">
      <c r="D28" s="36">
        <v>1</v>
      </c>
      <c r="E28" s="37">
        <v>2</v>
      </c>
      <c r="F28" s="37">
        <v>3</v>
      </c>
      <c r="G28" s="44">
        <v>4</v>
      </c>
      <c r="H28" s="44">
        <v>5</v>
      </c>
      <c r="I28" s="37">
        <v>6</v>
      </c>
      <c r="J28" s="37">
        <v>7</v>
      </c>
      <c r="K28" s="37">
        <v>8</v>
      </c>
      <c r="L28" s="37">
        <v>9</v>
      </c>
      <c r="M28" s="37">
        <v>10</v>
      </c>
      <c r="N28" s="44">
        <v>11</v>
      </c>
      <c r="O28" s="44">
        <v>12</v>
      </c>
      <c r="P28" s="37">
        <v>13</v>
      </c>
      <c r="Q28" s="37">
        <v>14</v>
      </c>
      <c r="R28" s="37">
        <v>15</v>
      </c>
      <c r="S28" s="37">
        <v>16</v>
      </c>
      <c r="T28" s="37">
        <v>17</v>
      </c>
      <c r="U28" s="44">
        <v>18</v>
      </c>
      <c r="V28" s="44">
        <v>19</v>
      </c>
      <c r="W28" s="37">
        <v>20</v>
      </c>
      <c r="X28" s="37">
        <v>21</v>
      </c>
      <c r="Y28" s="37">
        <v>22</v>
      </c>
      <c r="Z28" s="37">
        <v>23</v>
      </c>
      <c r="AA28" s="37">
        <v>24</v>
      </c>
      <c r="AB28" s="44">
        <v>25</v>
      </c>
      <c r="AC28" s="44">
        <v>26</v>
      </c>
      <c r="AD28" s="37">
        <v>27</v>
      </c>
      <c r="AE28" s="37">
        <v>28</v>
      </c>
      <c r="AF28" s="37">
        <v>29</v>
      </c>
      <c r="AG28" s="2">
        <v>30</v>
      </c>
      <c r="AH28" s="3"/>
      <c r="AK28" s="47"/>
      <c r="AL28" s="23"/>
      <c r="AM28" s="24"/>
      <c r="AO28" s="126"/>
    </row>
    <row r="29" spans="4:41" ht="29.25" x14ac:dyDescent="0.4">
      <c r="D29" s="230" t="s">
        <v>19</v>
      </c>
      <c r="E29" s="231"/>
      <c r="F29" s="232"/>
      <c r="G29" s="223" t="s">
        <v>5</v>
      </c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6"/>
      <c r="AH29" s="71"/>
      <c r="AK29" s="47"/>
      <c r="AL29" s="23"/>
      <c r="AM29" s="24"/>
      <c r="AO29" s="126"/>
    </row>
    <row r="30" spans="4:41" ht="30" thickBot="1" x14ac:dyDescent="0.45">
      <c r="D30" s="30"/>
      <c r="E30" s="31"/>
      <c r="F30" s="31"/>
      <c r="G30" s="38"/>
      <c r="H30" s="38"/>
      <c r="I30" s="31"/>
      <c r="J30" s="31"/>
      <c r="K30" s="31"/>
      <c r="L30" s="31"/>
      <c r="M30" s="31"/>
      <c r="N30" s="38"/>
      <c r="O30" s="38"/>
      <c r="P30" s="31"/>
      <c r="Q30" s="31"/>
      <c r="R30" s="31"/>
      <c r="S30" s="31"/>
      <c r="T30" s="31"/>
      <c r="U30" s="38"/>
      <c r="V30" s="38"/>
      <c r="W30" s="33"/>
      <c r="X30" s="33"/>
      <c r="Y30" s="33"/>
      <c r="Z30" s="33"/>
      <c r="AA30" s="33"/>
      <c r="AB30" s="39"/>
      <c r="AC30" s="39"/>
      <c r="AD30" s="33"/>
      <c r="AE30" s="33"/>
      <c r="AF30" s="33"/>
      <c r="AG30" s="7"/>
      <c r="AH30" s="8"/>
      <c r="AK30" s="47"/>
      <c r="AL30" s="23"/>
      <c r="AM30" s="24"/>
      <c r="AO30" s="126"/>
    </row>
    <row r="31" spans="4:41" ht="30" thickBot="1" x14ac:dyDescent="0.45">
      <c r="D31" s="32"/>
      <c r="E31" s="33"/>
      <c r="F31" s="33"/>
      <c r="G31" s="39"/>
      <c r="H31" s="39"/>
      <c r="I31" s="33"/>
      <c r="J31" s="33"/>
      <c r="K31" s="33"/>
      <c r="L31" s="33"/>
      <c r="M31" s="33"/>
      <c r="N31" s="39"/>
      <c r="O31" s="39"/>
      <c r="P31" s="33"/>
      <c r="Q31" s="33"/>
      <c r="R31" s="33"/>
      <c r="S31" s="33"/>
      <c r="T31" s="33"/>
      <c r="U31" s="39"/>
      <c r="V31" s="39"/>
      <c r="W31" s="33"/>
      <c r="X31" s="33"/>
      <c r="Y31" s="33"/>
      <c r="Z31" s="33"/>
      <c r="AA31" s="33"/>
      <c r="AB31" s="39"/>
      <c r="AC31" s="39"/>
      <c r="AD31" s="33"/>
      <c r="AE31" s="33"/>
      <c r="AF31" s="33"/>
      <c r="AG31" s="7"/>
      <c r="AH31" s="8"/>
      <c r="AK31" s="47"/>
      <c r="AL31" s="23"/>
      <c r="AM31" s="29">
        <v>3</v>
      </c>
      <c r="AO31" s="126">
        <f>SUM(AO27-AM31)</f>
        <v>20</v>
      </c>
    </row>
    <row r="32" spans="4:41" ht="30" thickBot="1" x14ac:dyDescent="0.45">
      <c r="AK32" s="47"/>
      <c r="AL32" s="23"/>
      <c r="AM32" s="24"/>
      <c r="AO32" s="126"/>
    </row>
    <row r="33" spans="2:41" ht="29.25" x14ac:dyDescent="0.4">
      <c r="D33" s="194">
        <v>46143</v>
      </c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6"/>
      <c r="AJ33" s="146" t="s">
        <v>51</v>
      </c>
      <c r="AK33" s="47">
        <f>SUM(AK27+2.5-AM31)</f>
        <v>68.5</v>
      </c>
      <c r="AL33" s="23"/>
      <c r="AM33" s="24"/>
      <c r="AO33" s="126"/>
    </row>
    <row r="34" spans="2:41" ht="29.25" x14ac:dyDescent="0.4">
      <c r="D34" s="4">
        <v>1</v>
      </c>
      <c r="E34" s="38">
        <v>2</v>
      </c>
      <c r="F34" s="38">
        <v>3</v>
      </c>
      <c r="G34" s="31">
        <v>4</v>
      </c>
      <c r="H34" s="31">
        <v>5</v>
      </c>
      <c r="I34" s="31">
        <v>6</v>
      </c>
      <c r="J34" s="31">
        <v>7</v>
      </c>
      <c r="K34" s="31">
        <v>8</v>
      </c>
      <c r="L34" s="38">
        <v>9</v>
      </c>
      <c r="M34" s="38">
        <v>10</v>
      </c>
      <c r="N34" s="31">
        <v>11</v>
      </c>
      <c r="O34" s="31">
        <v>12</v>
      </c>
      <c r="P34" s="31">
        <v>13</v>
      </c>
      <c r="Q34" s="31">
        <v>14</v>
      </c>
      <c r="R34" s="31">
        <v>15</v>
      </c>
      <c r="S34" s="38">
        <v>16</v>
      </c>
      <c r="T34" s="38">
        <v>17</v>
      </c>
      <c r="U34" s="31">
        <v>18</v>
      </c>
      <c r="V34" s="31">
        <v>19</v>
      </c>
      <c r="W34" s="31">
        <v>20</v>
      </c>
      <c r="X34" s="31">
        <v>21</v>
      </c>
      <c r="Y34" s="31">
        <v>22</v>
      </c>
      <c r="Z34" s="38">
        <v>23</v>
      </c>
      <c r="AA34" s="38">
        <v>24</v>
      </c>
      <c r="AB34" s="31">
        <v>25</v>
      </c>
      <c r="AC34" s="31">
        <v>26</v>
      </c>
      <c r="AD34" s="31">
        <v>27</v>
      </c>
      <c r="AE34" s="31">
        <v>28</v>
      </c>
      <c r="AF34" s="31">
        <v>29</v>
      </c>
      <c r="AG34" s="38">
        <v>30</v>
      </c>
      <c r="AH34" s="40">
        <v>31</v>
      </c>
      <c r="AK34" s="47"/>
      <c r="AL34" s="23"/>
      <c r="AM34" s="24"/>
      <c r="AO34" s="126"/>
    </row>
    <row r="35" spans="2:41" ht="29.25" x14ac:dyDescent="0.4">
      <c r="D35" s="223" t="s">
        <v>5</v>
      </c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5"/>
      <c r="AK35" s="47"/>
      <c r="AL35" s="23"/>
      <c r="AM35" s="24"/>
      <c r="AO35" s="126"/>
    </row>
    <row r="36" spans="2:41" ht="30" thickBot="1" x14ac:dyDescent="0.45">
      <c r="D36" s="4"/>
      <c r="E36" s="38"/>
      <c r="F36" s="38"/>
      <c r="G36" s="31"/>
      <c r="H36" s="31"/>
      <c r="I36" s="31"/>
      <c r="J36" s="31"/>
      <c r="K36" s="31"/>
      <c r="L36" s="38"/>
      <c r="M36" s="38"/>
      <c r="N36" s="31"/>
      <c r="O36" s="31"/>
      <c r="P36" s="31"/>
      <c r="Q36" s="31"/>
      <c r="R36" s="31"/>
      <c r="S36" s="38"/>
      <c r="T36" s="38"/>
      <c r="U36" s="31"/>
      <c r="V36" s="31"/>
      <c r="W36" s="31"/>
      <c r="X36" s="31"/>
      <c r="Y36" s="31"/>
      <c r="Z36" s="38"/>
      <c r="AA36" s="38"/>
      <c r="AB36" s="31"/>
      <c r="AC36" s="31"/>
      <c r="AD36" s="31"/>
      <c r="AE36" s="31"/>
      <c r="AF36" s="31"/>
      <c r="AG36" s="38"/>
      <c r="AH36" s="40"/>
      <c r="AK36" s="47"/>
      <c r="AL36" s="23"/>
      <c r="AM36" s="24"/>
      <c r="AO36" s="126"/>
    </row>
    <row r="37" spans="2:41" ht="30" thickBot="1" x14ac:dyDescent="0.45">
      <c r="D37" s="6"/>
      <c r="E37" s="39"/>
      <c r="F37" s="39"/>
      <c r="G37" s="33"/>
      <c r="H37" s="33"/>
      <c r="I37" s="33"/>
      <c r="J37" s="33"/>
      <c r="K37" s="33"/>
      <c r="L37" s="39"/>
      <c r="M37" s="39"/>
      <c r="N37" s="33"/>
      <c r="O37" s="33"/>
      <c r="P37" s="33"/>
      <c r="Q37" s="33"/>
      <c r="R37" s="33"/>
      <c r="S37" s="39"/>
      <c r="T37" s="39"/>
      <c r="U37" s="33"/>
      <c r="V37" s="33"/>
      <c r="W37" s="33"/>
      <c r="X37" s="33"/>
      <c r="Y37" s="33"/>
      <c r="Z37" s="39"/>
      <c r="AA37" s="39"/>
      <c r="AB37" s="33"/>
      <c r="AC37" s="33"/>
      <c r="AD37" s="33"/>
      <c r="AE37" s="33"/>
      <c r="AF37" s="33"/>
      <c r="AG37" s="39"/>
      <c r="AH37" s="41"/>
      <c r="AK37" s="47"/>
      <c r="AL37" s="23"/>
      <c r="AM37" s="29">
        <v>0</v>
      </c>
      <c r="AO37" s="126">
        <f>SUM(AO31-AM37)</f>
        <v>20</v>
      </c>
    </row>
    <row r="38" spans="2:41" ht="30" thickBot="1" x14ac:dyDescent="0.4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K38" s="47"/>
      <c r="AL38" s="23"/>
      <c r="AM38" s="24"/>
      <c r="AO38" s="126"/>
    </row>
    <row r="39" spans="2:41" ht="30" thickBot="1" x14ac:dyDescent="0.45">
      <c r="D39" s="190">
        <v>46174</v>
      </c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2"/>
      <c r="AG39" s="192"/>
      <c r="AH39" s="193"/>
      <c r="AJ39" s="146" t="s">
        <v>52</v>
      </c>
      <c r="AK39" s="47">
        <f>SUM(AK33+2.5-AM37)</f>
        <v>71</v>
      </c>
      <c r="AL39" s="23"/>
      <c r="AM39" s="24"/>
      <c r="AO39" s="126"/>
    </row>
    <row r="40" spans="2:41" ht="29.25" x14ac:dyDescent="0.4">
      <c r="D40" s="36">
        <v>1</v>
      </c>
      <c r="E40" s="37">
        <v>2</v>
      </c>
      <c r="F40" s="37">
        <v>3</v>
      </c>
      <c r="G40" s="37">
        <v>4</v>
      </c>
      <c r="H40" s="37">
        <v>5</v>
      </c>
      <c r="I40" s="44">
        <v>6</v>
      </c>
      <c r="J40" s="44">
        <v>7</v>
      </c>
      <c r="K40" s="37">
        <v>8</v>
      </c>
      <c r="L40" s="37">
        <v>9</v>
      </c>
      <c r="M40" s="37">
        <v>10</v>
      </c>
      <c r="N40" s="37">
        <v>11</v>
      </c>
      <c r="O40" s="37">
        <v>12</v>
      </c>
      <c r="P40" s="44">
        <v>13</v>
      </c>
      <c r="Q40" s="44">
        <v>14</v>
      </c>
      <c r="R40" s="37">
        <v>15</v>
      </c>
      <c r="S40" s="37">
        <v>16</v>
      </c>
      <c r="T40" s="37">
        <v>17</v>
      </c>
      <c r="U40" s="37">
        <v>18</v>
      </c>
      <c r="V40" s="37">
        <v>19</v>
      </c>
      <c r="W40" s="44">
        <v>20</v>
      </c>
      <c r="X40" s="44">
        <v>21</v>
      </c>
      <c r="Y40" s="37">
        <v>22</v>
      </c>
      <c r="Z40" s="37">
        <v>23</v>
      </c>
      <c r="AA40" s="37">
        <v>24</v>
      </c>
      <c r="AB40" s="37">
        <v>25</v>
      </c>
      <c r="AC40" s="37">
        <v>26</v>
      </c>
      <c r="AD40" s="44">
        <v>27</v>
      </c>
      <c r="AE40" s="44">
        <v>28</v>
      </c>
      <c r="AF40" s="37">
        <v>29</v>
      </c>
      <c r="AG40" s="2">
        <v>30</v>
      </c>
      <c r="AH40" s="3"/>
      <c r="AK40" s="47"/>
      <c r="AL40" s="23"/>
      <c r="AM40" s="24"/>
      <c r="AO40" s="126"/>
    </row>
    <row r="41" spans="2:41" ht="29.25" x14ac:dyDescent="0.4">
      <c r="D41" s="230" t="s">
        <v>34</v>
      </c>
      <c r="E41" s="231"/>
      <c r="F41" s="231"/>
      <c r="G41" s="231"/>
      <c r="H41" s="232"/>
      <c r="I41" s="223" t="s">
        <v>5</v>
      </c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6"/>
      <c r="AH41" s="5"/>
      <c r="AK41" s="47"/>
      <c r="AL41" s="23"/>
      <c r="AM41" s="24"/>
      <c r="AO41" s="126"/>
    </row>
    <row r="42" spans="2:41" ht="30" thickBot="1" x14ac:dyDescent="0.45">
      <c r="D42" s="30"/>
      <c r="E42" s="31"/>
      <c r="F42" s="31"/>
      <c r="G42" s="31"/>
      <c r="H42" s="31"/>
      <c r="I42" s="38"/>
      <c r="J42" s="38"/>
      <c r="K42" s="31"/>
      <c r="L42" s="31"/>
      <c r="M42" s="87" t="str">
        <f>(D140)</f>
        <v>VA Individual Appointments</v>
      </c>
      <c r="N42" s="31"/>
      <c r="O42" s="31"/>
      <c r="P42" s="38"/>
      <c r="Q42" s="38"/>
      <c r="R42" s="31"/>
      <c r="S42" s="31"/>
      <c r="T42" s="31"/>
      <c r="U42" s="31"/>
      <c r="V42" s="31"/>
      <c r="W42" s="38"/>
      <c r="X42" s="38"/>
      <c r="Y42" s="31"/>
      <c r="Z42" s="31"/>
      <c r="AA42" s="31"/>
      <c r="AB42" s="31"/>
      <c r="AC42" s="31"/>
      <c r="AD42" s="38"/>
      <c r="AE42" s="38"/>
      <c r="AF42" s="31"/>
      <c r="AG42" s="1"/>
      <c r="AH42" s="5"/>
      <c r="AK42" s="47"/>
      <c r="AL42" s="23"/>
      <c r="AM42" s="24"/>
      <c r="AO42" s="126"/>
    </row>
    <row r="43" spans="2:41" ht="30" thickBot="1" x14ac:dyDescent="0.45">
      <c r="D43" s="32"/>
      <c r="E43" s="33"/>
      <c r="F43" s="33"/>
      <c r="G43" s="33"/>
      <c r="H43" s="33"/>
      <c r="I43" s="39"/>
      <c r="J43" s="39"/>
      <c r="K43" s="33"/>
      <c r="L43" s="33"/>
      <c r="M43" s="33"/>
      <c r="N43" s="33"/>
      <c r="O43" s="33"/>
      <c r="P43" s="39"/>
      <c r="Q43" s="39"/>
      <c r="R43" s="33"/>
      <c r="S43" s="33"/>
      <c r="T43" s="33"/>
      <c r="U43" s="33"/>
      <c r="V43" s="143" t="s">
        <v>91</v>
      </c>
      <c r="W43" s="149" t="s">
        <v>44</v>
      </c>
      <c r="X43" s="39"/>
      <c r="Y43" s="33"/>
      <c r="Z43" s="33"/>
      <c r="AA43" s="33"/>
      <c r="AB43" s="33"/>
      <c r="AC43" s="33"/>
      <c r="AD43" s="39"/>
      <c r="AE43" s="39"/>
      <c r="AF43" s="33"/>
      <c r="AG43" s="7"/>
      <c r="AH43" s="8"/>
      <c r="AK43" s="47"/>
      <c r="AL43" s="23"/>
      <c r="AM43" s="29">
        <v>5</v>
      </c>
      <c r="AO43" s="126">
        <f>SUM(AO37-AM43)</f>
        <v>15</v>
      </c>
    </row>
    <row r="44" spans="2:41" ht="30" thickBot="1" x14ac:dyDescent="0.45"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6"/>
      <c r="AJ44" s="106"/>
      <c r="AK44" s="107"/>
      <c r="AL44" s="108"/>
      <c r="AM44" s="109"/>
      <c r="AO44" s="126"/>
    </row>
    <row r="45" spans="2:41" ht="29.25" x14ac:dyDescent="0.4">
      <c r="B45" s="244" t="s">
        <v>105</v>
      </c>
      <c r="C45" s="244"/>
      <c r="D45" s="194">
        <v>46204</v>
      </c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6"/>
      <c r="AJ45" s="146" t="s">
        <v>53</v>
      </c>
      <c r="AK45" s="47">
        <f>SUM(AK39+2.5-AM43)</f>
        <v>68.5</v>
      </c>
      <c r="AL45" s="23"/>
      <c r="AM45" s="24"/>
      <c r="AO45" s="126"/>
    </row>
    <row r="46" spans="2:41" ht="29.25" x14ac:dyDescent="0.4">
      <c r="B46" s="244"/>
      <c r="C46" s="244"/>
      <c r="D46" s="4">
        <v>1</v>
      </c>
      <c r="E46" s="1">
        <v>2</v>
      </c>
      <c r="F46" s="1">
        <v>3</v>
      </c>
      <c r="G46" s="10">
        <v>4</v>
      </c>
      <c r="H46" s="10">
        <v>5</v>
      </c>
      <c r="I46" s="1">
        <v>6</v>
      </c>
      <c r="J46" s="1">
        <v>7</v>
      </c>
      <c r="K46" s="1">
        <v>8</v>
      </c>
      <c r="L46" s="1">
        <v>9</v>
      </c>
      <c r="M46" s="1">
        <v>10</v>
      </c>
      <c r="N46" s="10">
        <v>11</v>
      </c>
      <c r="O46" s="10">
        <v>12</v>
      </c>
      <c r="P46" s="1">
        <v>13</v>
      </c>
      <c r="Q46" s="1">
        <v>14</v>
      </c>
      <c r="R46" s="1">
        <v>15</v>
      </c>
      <c r="S46" s="1">
        <v>16</v>
      </c>
      <c r="T46" s="1">
        <v>17</v>
      </c>
      <c r="U46" s="10">
        <v>18</v>
      </c>
      <c r="V46" s="10">
        <v>19</v>
      </c>
      <c r="W46" s="1">
        <v>20</v>
      </c>
      <c r="X46" s="1">
        <v>21</v>
      </c>
      <c r="Y46" s="1">
        <v>22</v>
      </c>
      <c r="Z46" s="1">
        <v>23</v>
      </c>
      <c r="AA46" s="1">
        <v>24</v>
      </c>
      <c r="AB46" s="10">
        <v>25</v>
      </c>
      <c r="AC46" s="10">
        <v>26</v>
      </c>
      <c r="AD46" s="1">
        <v>27</v>
      </c>
      <c r="AE46" s="1">
        <v>28</v>
      </c>
      <c r="AF46" s="1">
        <v>29</v>
      </c>
      <c r="AG46" s="1">
        <v>30</v>
      </c>
      <c r="AH46" s="5">
        <v>31</v>
      </c>
      <c r="AK46" s="47"/>
      <c r="AL46" s="23"/>
      <c r="AM46" s="24"/>
      <c r="AO46" s="126"/>
    </row>
    <row r="47" spans="2:41" ht="29.25" x14ac:dyDescent="0.4">
      <c r="B47" s="244"/>
      <c r="C47" s="244"/>
      <c r="D47" s="223" t="s">
        <v>5</v>
      </c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5"/>
      <c r="AK47" s="47"/>
      <c r="AL47" s="23"/>
      <c r="AM47" s="24"/>
      <c r="AO47" s="126"/>
    </row>
    <row r="48" spans="2:41" ht="30" thickBot="1" x14ac:dyDescent="0.45">
      <c r="B48" s="244"/>
      <c r="C48" s="244"/>
      <c r="D48" s="4"/>
      <c r="E48" s="1"/>
      <c r="F48" s="1"/>
      <c r="G48" s="10"/>
      <c r="H48" s="10"/>
      <c r="I48" s="1"/>
      <c r="J48" s="90" t="str">
        <f>(D133)</f>
        <v>Pre Separation Brief</v>
      </c>
      <c r="K48" s="1"/>
      <c r="L48" s="1"/>
      <c r="M48" s="1"/>
      <c r="N48" s="10"/>
      <c r="O48" s="10"/>
      <c r="P48" s="245" t="str">
        <f>(D134)</f>
        <v>Three-Day Transition Workshop</v>
      </c>
      <c r="Q48" s="246"/>
      <c r="R48" s="247"/>
      <c r="S48" s="248" t="str">
        <f>(D137)</f>
        <v>Employment 2 Day Seminar</v>
      </c>
      <c r="T48" s="249"/>
      <c r="U48" s="10"/>
      <c r="V48" s="10"/>
      <c r="W48" s="250" t="str">
        <f>(D135)</f>
        <v>Entrepreneurship 2-Day Seminar</v>
      </c>
      <c r="X48" s="251"/>
      <c r="Y48" s="1"/>
      <c r="Z48" s="1"/>
      <c r="AA48" s="1"/>
      <c r="AB48" s="10"/>
      <c r="AC48" s="10"/>
      <c r="AD48" s="1"/>
      <c r="AE48" s="90" t="str">
        <f>(D133)</f>
        <v>Pre Separation Brief</v>
      </c>
      <c r="AF48" s="1"/>
      <c r="AG48" s="259" t="str">
        <f>(D136)</f>
        <v>Career &amp; Credential Exploration 2 Day Seminar</v>
      </c>
      <c r="AH48" s="260"/>
      <c r="AK48" s="47"/>
      <c r="AL48" s="23"/>
      <c r="AM48" s="24"/>
      <c r="AO48" s="126"/>
    </row>
    <row r="49" spans="2:94" ht="30" thickBot="1" x14ac:dyDescent="0.45">
      <c r="B49" s="244"/>
      <c r="C49" s="244"/>
      <c r="D49" s="6"/>
      <c r="E49" s="7"/>
      <c r="F49" s="22" t="s">
        <v>3</v>
      </c>
      <c r="G49" s="11"/>
      <c r="H49" s="11"/>
      <c r="I49" s="7"/>
      <c r="J49" s="7"/>
      <c r="K49" s="7"/>
      <c r="L49" s="7"/>
      <c r="M49" s="7"/>
      <c r="N49" s="11"/>
      <c r="O49" s="11"/>
      <c r="P49" s="7"/>
      <c r="Q49" s="7"/>
      <c r="R49" s="87" t="str">
        <f>(D140)</f>
        <v>VA Individual Appointments</v>
      </c>
      <c r="S49" s="76"/>
      <c r="T49" s="77"/>
      <c r="U49" s="11"/>
      <c r="V49" s="11"/>
      <c r="W49" s="7"/>
      <c r="X49" s="7"/>
      <c r="Y49" s="7"/>
      <c r="Z49" s="7"/>
      <c r="AA49" s="7"/>
      <c r="AB49" s="11"/>
      <c r="AC49" s="11"/>
      <c r="AD49" s="66" t="s">
        <v>16</v>
      </c>
      <c r="AE49" s="7"/>
      <c r="AF49" s="7"/>
      <c r="AG49" s="7"/>
      <c r="AH49" s="66" t="s">
        <v>15</v>
      </c>
      <c r="AK49" s="47"/>
      <c r="AL49" s="23"/>
      <c r="AM49" s="29">
        <v>0</v>
      </c>
      <c r="AO49" s="126">
        <f>SUM(AO43-AM49)</f>
        <v>15</v>
      </c>
    </row>
    <row r="50" spans="2:94" ht="30" thickBot="1" x14ac:dyDescent="0.45">
      <c r="B50" s="244"/>
      <c r="C50" s="244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7"/>
      <c r="AO50" s="126"/>
    </row>
    <row r="51" spans="2:94" ht="29.25" x14ac:dyDescent="0.4">
      <c r="B51" s="244"/>
      <c r="C51" s="244"/>
      <c r="D51" s="194">
        <v>46235</v>
      </c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6"/>
      <c r="AJ51" s="146" t="s">
        <v>54</v>
      </c>
      <c r="AK51" s="47">
        <f>SUM(AK45+2.5-AM49)</f>
        <v>71</v>
      </c>
      <c r="AL51" s="23"/>
      <c r="AM51" s="24"/>
      <c r="AO51" s="126"/>
    </row>
    <row r="52" spans="2:94" ht="29.25" x14ac:dyDescent="0.4">
      <c r="B52" s="244"/>
      <c r="C52" s="244"/>
      <c r="D52" s="12">
        <v>1</v>
      </c>
      <c r="E52" s="10">
        <v>2</v>
      </c>
      <c r="F52" s="1">
        <v>3</v>
      </c>
      <c r="G52" s="1">
        <v>4</v>
      </c>
      <c r="H52" s="1">
        <v>5</v>
      </c>
      <c r="I52" s="1">
        <v>6</v>
      </c>
      <c r="J52" s="1">
        <v>7</v>
      </c>
      <c r="K52" s="10">
        <v>8</v>
      </c>
      <c r="L52" s="10">
        <v>9</v>
      </c>
      <c r="M52" s="1">
        <v>10</v>
      </c>
      <c r="N52" s="1">
        <v>11</v>
      </c>
      <c r="O52" s="1">
        <v>12</v>
      </c>
      <c r="P52" s="1">
        <v>13</v>
      </c>
      <c r="Q52" s="1">
        <v>14</v>
      </c>
      <c r="R52" s="10">
        <v>15</v>
      </c>
      <c r="S52" s="10">
        <v>16</v>
      </c>
      <c r="T52" s="1">
        <v>17</v>
      </c>
      <c r="U52" s="1">
        <v>18</v>
      </c>
      <c r="V52" s="1">
        <v>19</v>
      </c>
      <c r="W52" s="1">
        <v>20</v>
      </c>
      <c r="X52" s="1">
        <v>21</v>
      </c>
      <c r="Y52" s="10">
        <v>22</v>
      </c>
      <c r="Z52" s="10">
        <v>23</v>
      </c>
      <c r="AA52" s="1">
        <v>24</v>
      </c>
      <c r="AB52" s="1">
        <v>25</v>
      </c>
      <c r="AC52" s="1">
        <v>26</v>
      </c>
      <c r="AD52" s="1">
        <v>27</v>
      </c>
      <c r="AE52" s="1">
        <v>28</v>
      </c>
      <c r="AF52" s="10">
        <v>29</v>
      </c>
      <c r="AG52" s="10">
        <v>30</v>
      </c>
      <c r="AH52" s="5">
        <v>31</v>
      </c>
      <c r="AI52" s="56"/>
      <c r="AJ52" s="56"/>
      <c r="AK52" s="47"/>
      <c r="AL52" s="23"/>
      <c r="AM52" s="24"/>
      <c r="AO52" s="126"/>
    </row>
    <row r="53" spans="2:94" ht="30" thickBot="1" x14ac:dyDescent="0.45">
      <c r="B53" s="244"/>
      <c r="C53" s="244"/>
      <c r="D53" s="273" t="s">
        <v>31</v>
      </c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307" t="s">
        <v>98</v>
      </c>
      <c r="AB53" s="307"/>
      <c r="AC53" s="307"/>
      <c r="AD53" s="307"/>
      <c r="AE53" s="307"/>
      <c r="AF53" s="307"/>
      <c r="AG53" s="307"/>
      <c r="AH53" s="308"/>
      <c r="AI53" s="146">
        <v>15</v>
      </c>
      <c r="AK53" s="47"/>
      <c r="AL53" s="23"/>
      <c r="AM53" s="24"/>
      <c r="AO53" s="126"/>
    </row>
    <row r="54" spans="2:94" ht="30" thickBot="1" x14ac:dyDescent="0.45">
      <c r="B54" s="244"/>
      <c r="C54" s="244"/>
      <c r="D54" s="12"/>
      <c r="E54" s="10"/>
      <c r="F54" s="1"/>
      <c r="G54" s="90" t="str">
        <f>(D133)</f>
        <v>Pre Separation Brief</v>
      </c>
      <c r="H54" s="1"/>
      <c r="I54" s="1"/>
      <c r="J54" s="1"/>
      <c r="K54" s="10"/>
      <c r="L54" s="10"/>
      <c r="M54" s="1"/>
      <c r="N54" s="90" t="str">
        <f>(D133)</f>
        <v>Pre Separation Brief</v>
      </c>
      <c r="O54" s="1"/>
      <c r="P54" s="253" t="str">
        <f>(D138)</f>
        <v>Education  2 Day Seminar</v>
      </c>
      <c r="Q54" s="254"/>
      <c r="R54" s="10"/>
      <c r="S54" s="75"/>
      <c r="T54" s="255" t="str">
        <f>(D134)</f>
        <v>Three-Day Transition Workshop</v>
      </c>
      <c r="U54" s="256"/>
      <c r="V54" s="256"/>
      <c r="W54" s="257" t="str">
        <f>(D137)</f>
        <v>Employment 2 Day Seminar</v>
      </c>
      <c r="X54" s="258"/>
      <c r="Y54" s="74"/>
      <c r="Z54" s="10"/>
      <c r="AA54" s="1"/>
      <c r="AB54" s="1"/>
      <c r="AC54" s="1"/>
      <c r="AD54" s="1"/>
      <c r="AE54" s="1"/>
      <c r="AF54" s="10"/>
      <c r="AG54" s="10"/>
      <c r="AH54" s="5"/>
      <c r="AK54" s="47"/>
      <c r="AL54" s="23"/>
      <c r="AM54" s="24"/>
      <c r="AO54" s="126"/>
    </row>
    <row r="55" spans="2:94" ht="30" thickBot="1" x14ac:dyDescent="0.45">
      <c r="B55" s="244"/>
      <c r="C55" s="244"/>
      <c r="D55" s="13"/>
      <c r="E55" s="11"/>
      <c r="F55" s="7"/>
      <c r="G55" s="7"/>
      <c r="H55" s="7"/>
      <c r="I55" s="7"/>
      <c r="J55" s="7"/>
      <c r="K55" s="11"/>
      <c r="L55" s="11"/>
      <c r="M55" s="7"/>
      <c r="N55" s="7"/>
      <c r="O55" s="7"/>
      <c r="P55" s="7"/>
      <c r="Q55" s="7"/>
      <c r="R55" s="11"/>
      <c r="S55" s="11"/>
      <c r="T55" s="73"/>
      <c r="U55" s="73"/>
      <c r="V55" s="87" t="str">
        <f>(D140)</f>
        <v>VA Individual Appointments</v>
      </c>
      <c r="W55" s="73"/>
      <c r="X55" s="73"/>
      <c r="Y55" s="11"/>
      <c r="Z55" s="11"/>
      <c r="AA55" s="7"/>
      <c r="AB55" s="7"/>
      <c r="AC55" s="7"/>
      <c r="AD55" s="7"/>
      <c r="AE55" s="7"/>
      <c r="AF55" s="11"/>
      <c r="AG55" s="11"/>
      <c r="AH55" s="8"/>
      <c r="AK55" s="47"/>
      <c r="AL55" s="23"/>
      <c r="AM55" s="29">
        <v>8</v>
      </c>
      <c r="AO55" s="126">
        <f>SUM(AO49-AM55)</f>
        <v>7</v>
      </c>
    </row>
    <row r="56" spans="2:94" ht="30" thickBot="1" x14ac:dyDescent="0.45">
      <c r="B56" s="244"/>
      <c r="C56" s="244"/>
      <c r="AK56" s="47"/>
      <c r="AL56" s="23"/>
      <c r="AM56" s="24"/>
      <c r="AO56" s="126"/>
    </row>
    <row r="57" spans="2:94" ht="29.25" x14ac:dyDescent="0.4">
      <c r="B57" s="244"/>
      <c r="C57" s="244"/>
      <c r="D57" s="194">
        <v>46266</v>
      </c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6"/>
      <c r="AJ57" s="146" t="s">
        <v>55</v>
      </c>
      <c r="AK57" s="47">
        <f>SUM(AK51+2.5-AM55)</f>
        <v>65.5</v>
      </c>
      <c r="AL57" s="23"/>
      <c r="AM57" s="24"/>
      <c r="AO57" s="126"/>
    </row>
    <row r="58" spans="2:94" ht="29.25" x14ac:dyDescent="0.4">
      <c r="B58" s="244"/>
      <c r="C58" s="244"/>
      <c r="D58" s="4">
        <v>1</v>
      </c>
      <c r="E58" s="1">
        <v>2</v>
      </c>
      <c r="F58" s="1">
        <v>3</v>
      </c>
      <c r="G58" s="1">
        <v>4</v>
      </c>
      <c r="H58" s="10">
        <v>5</v>
      </c>
      <c r="I58" s="10">
        <v>6</v>
      </c>
      <c r="J58" s="1">
        <v>7</v>
      </c>
      <c r="K58" s="1">
        <v>8</v>
      </c>
      <c r="L58" s="1">
        <v>9</v>
      </c>
      <c r="M58" s="1">
        <v>10</v>
      </c>
      <c r="N58" s="1">
        <v>11</v>
      </c>
      <c r="O58" s="10">
        <v>12</v>
      </c>
      <c r="P58" s="10">
        <v>13</v>
      </c>
      <c r="Q58" s="1">
        <v>14</v>
      </c>
      <c r="R58" s="1">
        <v>15</v>
      </c>
      <c r="S58" s="1">
        <v>16</v>
      </c>
      <c r="T58" s="1">
        <v>17</v>
      </c>
      <c r="U58" s="1">
        <v>18</v>
      </c>
      <c r="V58" s="10">
        <v>19</v>
      </c>
      <c r="W58" s="10">
        <v>20</v>
      </c>
      <c r="X58" s="1">
        <v>21</v>
      </c>
      <c r="Y58" s="1">
        <v>22</v>
      </c>
      <c r="Z58" s="1">
        <v>23</v>
      </c>
      <c r="AA58" s="1">
        <v>24</v>
      </c>
      <c r="AB58" s="1">
        <v>25</v>
      </c>
      <c r="AC58" s="10">
        <v>26</v>
      </c>
      <c r="AD58" s="10">
        <v>27</v>
      </c>
      <c r="AE58" s="1">
        <v>28</v>
      </c>
      <c r="AF58" s="1">
        <v>29</v>
      </c>
      <c r="AG58" s="1">
        <v>30</v>
      </c>
      <c r="AH58" s="5"/>
      <c r="AK58" s="47"/>
      <c r="AL58" s="23"/>
      <c r="AM58" s="24"/>
      <c r="AO58" s="126"/>
    </row>
    <row r="59" spans="2:94" ht="29.25" x14ac:dyDescent="0.4">
      <c r="B59" s="244"/>
      <c r="C59" s="244"/>
      <c r="D59" s="320" t="s">
        <v>32</v>
      </c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5" t="s">
        <v>99</v>
      </c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6"/>
      <c r="AH59" s="5"/>
      <c r="AI59" s="146">
        <v>8</v>
      </c>
      <c r="AK59" s="47"/>
      <c r="AL59" s="23"/>
      <c r="AM59" s="24"/>
      <c r="AO59" s="126"/>
    </row>
    <row r="60" spans="2:94" ht="30" thickBot="1" x14ac:dyDescent="0.45">
      <c r="B60" s="244"/>
      <c r="C60" s="244"/>
      <c r="D60" s="78"/>
      <c r="E60" s="78"/>
      <c r="F60" s="78"/>
      <c r="G60" s="78"/>
      <c r="H60" s="80"/>
      <c r="I60" s="80"/>
      <c r="J60" s="78"/>
      <c r="K60" s="95" t="str">
        <f>(D132)</f>
        <v>Initial Individual Counseling</v>
      </c>
      <c r="L60" s="96"/>
      <c r="M60" s="99"/>
      <c r="N60" s="99"/>
      <c r="O60" s="97"/>
      <c r="P60" s="85"/>
      <c r="Q60" s="288" t="str">
        <f>(D134)</f>
        <v>Three-Day Transition Workshop</v>
      </c>
      <c r="R60" s="289"/>
      <c r="S60" s="290"/>
      <c r="T60" s="304" t="str">
        <f>(D136)</f>
        <v>Career &amp; Credential Exploration 2 Day Seminar</v>
      </c>
      <c r="U60" s="305"/>
      <c r="V60" s="85"/>
      <c r="W60" s="85"/>
      <c r="X60" s="84"/>
      <c r="Y60" s="84"/>
      <c r="Z60" s="84"/>
      <c r="AA60" s="84"/>
      <c r="AB60" s="84"/>
      <c r="AC60" s="85"/>
      <c r="AD60" s="85"/>
      <c r="AE60" s="84"/>
      <c r="AF60" s="95" t="str">
        <f>(D132)</f>
        <v>Initial Individual Counseling</v>
      </c>
      <c r="AG60" s="84"/>
      <c r="AH60" s="147"/>
      <c r="AK60" s="47"/>
      <c r="AL60" s="23"/>
      <c r="AM60" s="27"/>
      <c r="AO60" s="126"/>
    </row>
    <row r="61" spans="2:94" ht="30" thickBot="1" x14ac:dyDescent="0.45">
      <c r="B61" s="244"/>
      <c r="C61" s="244"/>
      <c r="D61" s="72"/>
      <c r="E61" s="73"/>
      <c r="F61" s="70" t="s">
        <v>89</v>
      </c>
      <c r="G61" s="73"/>
      <c r="H61" s="79"/>
      <c r="I61" s="79"/>
      <c r="J61" s="142" t="s">
        <v>83</v>
      </c>
      <c r="K61" s="81"/>
      <c r="L61" s="81"/>
      <c r="M61" s="98"/>
      <c r="N61" s="98"/>
      <c r="O61" s="82"/>
      <c r="P61" s="82"/>
      <c r="Q61" s="81"/>
      <c r="R61" s="81"/>
      <c r="S61" s="88" t="str">
        <f>(D140)</f>
        <v>VA Individual Appointments</v>
      </c>
      <c r="T61" s="81"/>
      <c r="U61" s="81"/>
      <c r="V61" s="82"/>
      <c r="W61" s="82"/>
      <c r="X61" s="81"/>
      <c r="Y61" s="81"/>
      <c r="Z61" s="81"/>
      <c r="AA61" s="81"/>
      <c r="AB61" s="81"/>
      <c r="AC61" s="82"/>
      <c r="AD61" s="82"/>
      <c r="AE61" s="81"/>
      <c r="AF61" s="81"/>
      <c r="AG61" s="81"/>
      <c r="AH61" s="83"/>
      <c r="AK61" s="47"/>
      <c r="AL61" s="26"/>
      <c r="AM61" s="29">
        <v>18</v>
      </c>
      <c r="AO61" s="126">
        <f>SUM(AO55-AM61)</f>
        <v>-11</v>
      </c>
    </row>
    <row r="62" spans="2:94" ht="15.75" thickBot="1" x14ac:dyDescent="0.25">
      <c r="B62" s="244"/>
      <c r="C62" s="244"/>
      <c r="AK62" s="47"/>
      <c r="AL62" s="23"/>
      <c r="AM62" s="28"/>
    </row>
    <row r="63" spans="2:94" x14ac:dyDescent="0.2">
      <c r="B63" s="244"/>
      <c r="C63" s="244"/>
      <c r="D63" s="194">
        <v>46296</v>
      </c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6"/>
      <c r="AJ63" s="146" t="s">
        <v>56</v>
      </c>
      <c r="AK63" s="47">
        <f>SUM(AK57+2.5-AM61)</f>
        <v>50</v>
      </c>
      <c r="AL63" s="23"/>
      <c r="AM63" s="24"/>
    </row>
    <row r="64" spans="2:94" ht="15.75" thickBot="1" x14ac:dyDescent="0.25">
      <c r="B64" s="244"/>
      <c r="C64" s="244"/>
      <c r="D64" s="4">
        <v>1</v>
      </c>
      <c r="E64" s="1">
        <v>2</v>
      </c>
      <c r="F64" s="10">
        <v>3</v>
      </c>
      <c r="G64" s="10">
        <v>4</v>
      </c>
      <c r="H64" s="1">
        <v>5</v>
      </c>
      <c r="I64" s="1">
        <v>6</v>
      </c>
      <c r="J64" s="1">
        <v>7</v>
      </c>
      <c r="K64" s="1">
        <v>8</v>
      </c>
      <c r="L64" s="1">
        <v>9</v>
      </c>
      <c r="M64" s="10">
        <v>10</v>
      </c>
      <c r="N64" s="10">
        <v>11</v>
      </c>
      <c r="O64" s="1">
        <v>12</v>
      </c>
      <c r="P64" s="1">
        <v>13</v>
      </c>
      <c r="Q64" s="1">
        <v>14</v>
      </c>
      <c r="R64" s="1">
        <v>15</v>
      </c>
      <c r="S64" s="1">
        <v>16</v>
      </c>
      <c r="T64" s="10">
        <v>17</v>
      </c>
      <c r="U64" s="10">
        <v>18</v>
      </c>
      <c r="V64" s="1">
        <v>19</v>
      </c>
      <c r="W64" s="1">
        <v>20</v>
      </c>
      <c r="X64" s="1">
        <v>21</v>
      </c>
      <c r="Y64" s="1">
        <v>22</v>
      </c>
      <c r="Z64" s="1">
        <v>23</v>
      </c>
      <c r="AA64" s="10">
        <v>24</v>
      </c>
      <c r="AB64" s="10">
        <v>25</v>
      </c>
      <c r="AC64" s="62">
        <v>26</v>
      </c>
      <c r="AD64" s="62">
        <v>27</v>
      </c>
      <c r="AE64" s="62">
        <v>28</v>
      </c>
      <c r="AF64" s="62">
        <v>29</v>
      </c>
      <c r="AG64" s="62">
        <v>30</v>
      </c>
      <c r="AH64" s="14">
        <v>31</v>
      </c>
      <c r="AI64" s="56"/>
      <c r="AJ64" s="56"/>
      <c r="AK64" s="47"/>
      <c r="AL64" s="23"/>
      <c r="AM64" s="24"/>
      <c r="BL64" s="262" t="s">
        <v>0</v>
      </c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</row>
    <row r="65" spans="1:94" ht="21.75" thickBot="1" x14ac:dyDescent="0.35">
      <c r="B65" s="244"/>
      <c r="C65" s="244"/>
      <c r="D65" s="265" t="s">
        <v>100</v>
      </c>
      <c r="E65" s="265"/>
      <c r="F65" s="265"/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85" t="s">
        <v>33</v>
      </c>
      <c r="AD65" s="286"/>
      <c r="AE65" s="286"/>
      <c r="AF65" s="286"/>
      <c r="AG65" s="287"/>
      <c r="AH65" s="152" t="s">
        <v>12</v>
      </c>
      <c r="AI65" s="56">
        <v>22</v>
      </c>
      <c r="AJ65" s="56"/>
      <c r="AK65" s="47"/>
      <c r="AL65" s="23"/>
      <c r="AM65" s="24"/>
      <c r="BL65">
        <v>1</v>
      </c>
      <c r="BM65">
        <v>2</v>
      </c>
      <c r="BN65">
        <v>3</v>
      </c>
      <c r="BO65">
        <v>4</v>
      </c>
      <c r="BP65">
        <v>5</v>
      </c>
      <c r="BQ65">
        <v>6</v>
      </c>
      <c r="BR65">
        <v>7</v>
      </c>
      <c r="BS65">
        <v>8</v>
      </c>
      <c r="BT65">
        <v>9</v>
      </c>
      <c r="BU65">
        <v>10</v>
      </c>
      <c r="BV65">
        <v>11</v>
      </c>
      <c r="BW65">
        <v>12</v>
      </c>
      <c r="BX65">
        <v>13</v>
      </c>
      <c r="BY65">
        <v>14</v>
      </c>
      <c r="BZ65">
        <v>15</v>
      </c>
      <c r="CA65">
        <v>16</v>
      </c>
      <c r="CB65">
        <v>17</v>
      </c>
      <c r="CC65">
        <v>18</v>
      </c>
      <c r="CD65">
        <v>19</v>
      </c>
      <c r="CE65">
        <v>20</v>
      </c>
      <c r="CF65">
        <v>21</v>
      </c>
      <c r="CG65">
        <v>22</v>
      </c>
      <c r="CH65">
        <v>23</v>
      </c>
      <c r="CI65">
        <v>24</v>
      </c>
      <c r="CJ65">
        <v>25</v>
      </c>
      <c r="CK65">
        <v>26</v>
      </c>
      <c r="CL65">
        <v>27</v>
      </c>
      <c r="CM65">
        <v>28</v>
      </c>
      <c r="CN65">
        <v>29</v>
      </c>
      <c r="CO65">
        <v>30</v>
      </c>
      <c r="CP65">
        <v>31</v>
      </c>
    </row>
    <row r="66" spans="1:94" ht="15.75" thickBot="1" x14ac:dyDescent="0.25">
      <c r="B66" s="244"/>
      <c r="C66" s="244"/>
      <c r="D66" s="4"/>
      <c r="E66" s="1"/>
      <c r="F66" s="10"/>
      <c r="G66" s="10"/>
      <c r="H66" s="250" t="str">
        <f>(D135)</f>
        <v>Entrepreneurship 2-Day Seminar</v>
      </c>
      <c r="I66" s="251"/>
      <c r="J66" s="1"/>
      <c r="K66" s="1"/>
      <c r="L66" s="1"/>
      <c r="M66" s="10"/>
      <c r="N66" s="10"/>
      <c r="O66" s="1"/>
      <c r="P66" s="1"/>
      <c r="Q66" s="1"/>
      <c r="R66" s="1"/>
      <c r="S66" s="1"/>
      <c r="T66" s="10"/>
      <c r="U66" s="10"/>
      <c r="V66" s="288" t="str">
        <f>(D134)</f>
        <v>Three-Day Transition Workshop</v>
      </c>
      <c r="W66" s="289"/>
      <c r="X66" s="290"/>
      <c r="Y66" s="257" t="str">
        <f>(D137)</f>
        <v>Employment 2 Day Seminar</v>
      </c>
      <c r="Z66" s="258"/>
      <c r="AA66" s="10"/>
      <c r="AB66" s="10"/>
      <c r="AC66" s="59"/>
      <c r="AD66" s="153" t="str">
        <f>(D133)</f>
        <v>Pre Separation Brief</v>
      </c>
      <c r="AE66" s="59"/>
      <c r="AF66" s="154" t="str">
        <f>(D138)</f>
        <v>Education  2 Day Seminar</v>
      </c>
      <c r="AG66" s="59"/>
      <c r="AH66" s="14"/>
      <c r="AK66" s="47"/>
      <c r="AL66" s="23"/>
      <c r="AM66" s="27"/>
    </row>
    <row r="67" spans="1:94" ht="15.75" thickBot="1" x14ac:dyDescent="0.25">
      <c r="B67" s="244"/>
      <c r="C67" s="244"/>
      <c r="D67" s="4"/>
      <c r="E67" s="1"/>
      <c r="F67" s="10"/>
      <c r="G67" s="10"/>
      <c r="H67" s="155"/>
      <c r="I67" s="1"/>
      <c r="J67" s="1"/>
      <c r="K67" s="1"/>
      <c r="L67" s="70" t="s">
        <v>29</v>
      </c>
      <c r="M67" s="10"/>
      <c r="N67" s="10"/>
      <c r="O67" s="141" t="s">
        <v>84</v>
      </c>
      <c r="P67" s="1"/>
      <c r="Q67" s="1"/>
      <c r="R67" s="1"/>
      <c r="S67" s="1"/>
      <c r="T67" s="10"/>
      <c r="U67" s="10"/>
      <c r="V67" s="1"/>
      <c r="W67" s="1"/>
      <c r="X67" s="88" t="str">
        <f>(D140)</f>
        <v>VA Individual Appointments</v>
      </c>
      <c r="Y67" s="1"/>
      <c r="Z67" s="1"/>
      <c r="AA67" s="10"/>
      <c r="AB67" s="10"/>
      <c r="AC67" s="1"/>
      <c r="AD67" s="1"/>
      <c r="AE67" s="1"/>
      <c r="AF67" s="1"/>
      <c r="AG67" s="1"/>
      <c r="AH67" s="15"/>
      <c r="AK67" s="47"/>
      <c r="AL67" s="26"/>
      <c r="AM67" s="29">
        <v>0</v>
      </c>
    </row>
    <row r="68" spans="1:94" ht="15.75" thickBot="1" x14ac:dyDescent="0.25">
      <c r="B68" s="244"/>
      <c r="C68" s="24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K68" s="47"/>
      <c r="AL68" s="23"/>
      <c r="AM68" s="28"/>
    </row>
    <row r="69" spans="1:94" ht="15.75" thickBot="1" x14ac:dyDescent="0.25">
      <c r="B69" s="244"/>
      <c r="C69" s="244"/>
      <c r="D69" s="190">
        <v>46327</v>
      </c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2"/>
      <c r="AG69" s="192"/>
      <c r="AH69" s="193"/>
      <c r="AJ69" s="146" t="s">
        <v>57</v>
      </c>
      <c r="AK69" s="47">
        <f>SUM(AK63+2.5-AM67)</f>
        <v>52.5</v>
      </c>
      <c r="AL69" s="23"/>
      <c r="AM69" s="24"/>
    </row>
    <row r="70" spans="1:94" x14ac:dyDescent="0.2">
      <c r="B70" s="244"/>
      <c r="C70" s="244"/>
      <c r="D70" s="120">
        <v>1</v>
      </c>
      <c r="E70" s="57">
        <v>2</v>
      </c>
      <c r="F70" s="57">
        <v>3</v>
      </c>
      <c r="G70" s="57">
        <v>4</v>
      </c>
      <c r="H70" s="57">
        <v>5</v>
      </c>
      <c r="I70" s="57">
        <v>6</v>
      </c>
      <c r="J70" s="58">
        <v>7</v>
      </c>
      <c r="K70" s="58">
        <v>8</v>
      </c>
      <c r="L70" s="57">
        <v>9</v>
      </c>
      <c r="M70" s="57">
        <v>10</v>
      </c>
      <c r="N70" s="57">
        <v>11</v>
      </c>
      <c r="O70" s="57">
        <v>12</v>
      </c>
      <c r="P70" s="57">
        <v>13</v>
      </c>
      <c r="Q70" s="58">
        <v>14</v>
      </c>
      <c r="R70" s="58">
        <v>15</v>
      </c>
      <c r="S70" s="57">
        <v>16</v>
      </c>
      <c r="T70" s="57">
        <v>17</v>
      </c>
      <c r="U70" s="57">
        <v>18</v>
      </c>
      <c r="V70" s="57">
        <v>19</v>
      </c>
      <c r="W70" s="57">
        <v>20</v>
      </c>
      <c r="X70" s="58">
        <v>21</v>
      </c>
      <c r="Y70" s="58">
        <v>22</v>
      </c>
      <c r="Z70" s="57">
        <v>23</v>
      </c>
      <c r="AA70" s="57">
        <v>24</v>
      </c>
      <c r="AB70" s="68">
        <v>25</v>
      </c>
      <c r="AC70" s="68">
        <v>26</v>
      </c>
      <c r="AD70" s="68">
        <v>27</v>
      </c>
      <c r="AE70" s="69">
        <v>28</v>
      </c>
      <c r="AF70" s="69">
        <v>29</v>
      </c>
      <c r="AG70" s="64">
        <v>30</v>
      </c>
      <c r="AH70" s="3"/>
      <c r="AI70" s="56"/>
      <c r="AJ70" s="56"/>
      <c r="AK70" s="47"/>
      <c r="AL70" s="23"/>
      <c r="AM70" s="24"/>
    </row>
    <row r="71" spans="1:94" x14ac:dyDescent="0.2">
      <c r="A71" s="67"/>
      <c r="B71" s="244"/>
      <c r="C71" s="244"/>
      <c r="D71" s="311" t="s">
        <v>97</v>
      </c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150" t="s">
        <v>92</v>
      </c>
      <c r="AH71" s="5"/>
      <c r="AI71" s="146">
        <v>0</v>
      </c>
      <c r="AK71" s="47"/>
      <c r="AL71" s="23"/>
      <c r="AM71" s="24"/>
    </row>
    <row r="72" spans="1:94" ht="15.75" thickBot="1" x14ac:dyDescent="0.25">
      <c r="B72" s="244"/>
      <c r="C72" s="244"/>
      <c r="D72" s="121"/>
      <c r="E72" s="59"/>
      <c r="F72" s="59"/>
      <c r="G72" s="59"/>
      <c r="H72" s="59"/>
      <c r="I72" s="59"/>
      <c r="J72" s="60"/>
      <c r="K72" s="60"/>
      <c r="L72" s="59"/>
      <c r="M72" s="59"/>
      <c r="N72" s="59"/>
      <c r="O72" s="298" t="str">
        <f>(D136)</f>
        <v>Career &amp; Credential Exploration 2 Day Seminar</v>
      </c>
      <c r="P72" s="299"/>
      <c r="Q72" s="60"/>
      <c r="R72" s="60"/>
      <c r="S72" s="295" t="str">
        <f>(D134)</f>
        <v>Three-Day Transition Workshop</v>
      </c>
      <c r="T72" s="296"/>
      <c r="U72" s="297"/>
      <c r="V72" s="280" t="str">
        <f>(D137)</f>
        <v>Employment 2 Day Seminar</v>
      </c>
      <c r="W72" s="281"/>
      <c r="X72" s="60"/>
      <c r="Y72" s="60"/>
      <c r="Z72" s="59"/>
      <c r="AA72" s="123" t="str">
        <f>(D133)</f>
        <v>Pre Separation Brief</v>
      </c>
      <c r="AB72" s="59"/>
      <c r="AC72" s="59"/>
      <c r="AD72" s="59"/>
      <c r="AE72" s="60"/>
      <c r="AF72" s="60"/>
      <c r="AG72" s="1"/>
      <c r="AH72" s="5"/>
      <c r="AK72" s="47"/>
      <c r="AL72" s="23"/>
      <c r="AM72" s="27"/>
    </row>
    <row r="73" spans="1:94" ht="15.75" thickBot="1" x14ac:dyDescent="0.25">
      <c r="B73" s="244"/>
      <c r="C73" s="244"/>
      <c r="D73" s="13"/>
      <c r="E73" s="7"/>
      <c r="F73" s="92" t="str">
        <f>(D133)</f>
        <v>Pre Separation Brief</v>
      </c>
      <c r="G73" s="7"/>
      <c r="H73" s="7"/>
      <c r="I73" s="7"/>
      <c r="J73" s="11"/>
      <c r="K73" s="11"/>
      <c r="L73" s="7"/>
      <c r="M73" s="7"/>
      <c r="N73" s="143" t="s">
        <v>85</v>
      </c>
      <c r="O73" s="7"/>
      <c r="P73" s="7"/>
      <c r="Q73" s="11"/>
      <c r="R73" s="11"/>
      <c r="S73" s="7"/>
      <c r="T73" s="7"/>
      <c r="U73" s="89" t="str">
        <f>(D140)</f>
        <v>VA Individual Appointments</v>
      </c>
      <c r="V73" s="7"/>
      <c r="W73" s="7"/>
      <c r="X73" s="11"/>
      <c r="Y73" s="11"/>
      <c r="Z73" s="7"/>
      <c r="AA73" s="7"/>
      <c r="AB73" s="7"/>
      <c r="AC73" s="211" t="s">
        <v>2</v>
      </c>
      <c r="AD73" s="212"/>
      <c r="AE73" s="11"/>
      <c r="AF73" s="11"/>
      <c r="AG73" s="7"/>
      <c r="AH73" s="8"/>
      <c r="AK73" s="47"/>
      <c r="AL73" s="26"/>
      <c r="AM73" s="29">
        <v>0</v>
      </c>
    </row>
    <row r="74" spans="1:94" ht="15.75" thickBot="1" x14ac:dyDescent="0.25">
      <c r="B74" s="244"/>
      <c r="C74" s="24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K74" s="47"/>
      <c r="AL74" s="23"/>
      <c r="AM74" s="28"/>
    </row>
    <row r="75" spans="1:94" x14ac:dyDescent="0.2">
      <c r="B75" s="244"/>
      <c r="C75" s="244"/>
      <c r="D75" s="217">
        <v>46357</v>
      </c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9"/>
      <c r="AG75" s="219"/>
      <c r="AH75" s="220"/>
      <c r="AJ75" s="146" t="s">
        <v>58</v>
      </c>
      <c r="AK75" s="47">
        <f>SUM(AK69+2.5-AM73)</f>
        <v>55</v>
      </c>
      <c r="AL75" s="23"/>
      <c r="AM75" s="24"/>
    </row>
    <row r="76" spans="1:94" x14ac:dyDescent="0.2">
      <c r="B76" s="244"/>
      <c r="C76" s="244"/>
      <c r="D76" s="4">
        <v>1</v>
      </c>
      <c r="E76" s="1">
        <v>2</v>
      </c>
      <c r="F76" s="1">
        <v>3</v>
      </c>
      <c r="G76" s="1">
        <v>4</v>
      </c>
      <c r="H76" s="10">
        <v>5</v>
      </c>
      <c r="I76" s="10">
        <v>6</v>
      </c>
      <c r="J76" s="1">
        <v>7</v>
      </c>
      <c r="K76" s="1">
        <v>8</v>
      </c>
      <c r="L76" s="1">
        <v>9</v>
      </c>
      <c r="M76" s="1">
        <v>10</v>
      </c>
      <c r="N76" s="1">
        <v>11</v>
      </c>
      <c r="O76" s="10">
        <v>12</v>
      </c>
      <c r="P76" s="10">
        <v>13</v>
      </c>
      <c r="Q76" s="1">
        <v>14</v>
      </c>
      <c r="R76" s="1">
        <v>15</v>
      </c>
      <c r="S76" s="1">
        <v>16</v>
      </c>
      <c r="T76" s="1">
        <v>17</v>
      </c>
      <c r="U76" s="1">
        <v>18</v>
      </c>
      <c r="V76" s="10">
        <v>19</v>
      </c>
      <c r="W76" s="10">
        <v>20</v>
      </c>
      <c r="X76" s="1">
        <v>21</v>
      </c>
      <c r="Y76" s="1">
        <v>22</v>
      </c>
      <c r="Z76" s="1">
        <v>23</v>
      </c>
      <c r="AA76" s="1">
        <v>24</v>
      </c>
      <c r="AB76" s="1">
        <v>25</v>
      </c>
      <c r="AC76" s="10">
        <v>26</v>
      </c>
      <c r="AD76" s="10">
        <v>27</v>
      </c>
      <c r="AE76" s="1">
        <v>28</v>
      </c>
      <c r="AF76" s="1">
        <v>29</v>
      </c>
      <c r="AG76" s="1">
        <v>30</v>
      </c>
      <c r="AH76" s="1">
        <v>31</v>
      </c>
      <c r="AK76" s="47"/>
      <c r="AL76" s="23"/>
      <c r="AM76" s="24"/>
    </row>
    <row r="77" spans="1:94" ht="15.75" thickBot="1" x14ac:dyDescent="0.25">
      <c r="B77" s="244"/>
      <c r="C77" s="244"/>
      <c r="D77" s="315" t="s">
        <v>96</v>
      </c>
      <c r="E77" s="315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/>
      <c r="AF77" s="315"/>
      <c r="AG77" s="315"/>
      <c r="AH77" s="315"/>
      <c r="AI77" s="146">
        <v>0</v>
      </c>
      <c r="AK77" s="47"/>
      <c r="AL77" s="23"/>
      <c r="AM77" s="24"/>
    </row>
    <row r="78" spans="1:94" ht="15.75" thickBot="1" x14ac:dyDescent="0.25">
      <c r="B78" s="244"/>
      <c r="C78" s="244"/>
      <c r="D78" s="91" t="str">
        <f>(D133)</f>
        <v>Pre Separation Brief</v>
      </c>
      <c r="E78" s="1"/>
      <c r="F78" s="1"/>
      <c r="G78" s="1"/>
      <c r="H78" s="10"/>
      <c r="I78" s="10"/>
      <c r="J78" s="288" t="str">
        <f>(D134)</f>
        <v>Three-Day Transition Workshop</v>
      </c>
      <c r="K78" s="289"/>
      <c r="L78" s="290"/>
      <c r="M78" s="257" t="str">
        <f>(D137)</f>
        <v>Employment 2 Day Seminar</v>
      </c>
      <c r="N78" s="258"/>
      <c r="O78" s="10"/>
      <c r="P78" s="10"/>
      <c r="Q78" s="1"/>
      <c r="R78" s="90" t="str">
        <f>(D133)</f>
        <v>Pre Separation Brief</v>
      </c>
      <c r="S78" s="1"/>
      <c r="T78" s="1"/>
      <c r="U78" s="1"/>
      <c r="V78" s="10"/>
      <c r="W78" s="10"/>
      <c r="X78" s="1"/>
      <c r="Y78" s="1"/>
      <c r="Z78" s="1"/>
      <c r="AA78" s="1"/>
      <c r="AB78" s="1"/>
      <c r="AC78" s="10"/>
      <c r="AD78" s="10"/>
      <c r="AE78" s="1"/>
      <c r="AF78" s="1"/>
      <c r="AG78" s="1"/>
      <c r="AH78" s="5"/>
      <c r="AK78" s="47"/>
      <c r="AL78" s="23"/>
      <c r="AM78" s="27"/>
    </row>
    <row r="79" spans="1:94" ht="15.75" thickBot="1" x14ac:dyDescent="0.25">
      <c r="B79" s="244"/>
      <c r="C79" s="244"/>
      <c r="D79" s="6"/>
      <c r="E79" s="7"/>
      <c r="F79" s="7"/>
      <c r="G79" s="7"/>
      <c r="H79" s="11"/>
      <c r="I79" s="11"/>
      <c r="J79" s="7"/>
      <c r="K79" s="7"/>
      <c r="L79" s="89" t="str">
        <f>(D140)</f>
        <v>VA Individual Appointments</v>
      </c>
      <c r="M79" s="7"/>
      <c r="N79" s="7"/>
      <c r="O79" s="11"/>
      <c r="P79" s="11"/>
      <c r="Q79" s="7"/>
      <c r="R79" s="7"/>
      <c r="S79" s="7"/>
      <c r="T79" s="7"/>
      <c r="U79" s="7"/>
      <c r="V79" s="11"/>
      <c r="W79" s="11"/>
      <c r="X79" s="7"/>
      <c r="Y79" s="7"/>
      <c r="Z79" s="7"/>
      <c r="AA79" s="22" t="s">
        <v>3</v>
      </c>
      <c r="AB79" s="22" t="s">
        <v>3</v>
      </c>
      <c r="AC79" s="11"/>
      <c r="AD79" s="11"/>
      <c r="AE79" s="7"/>
      <c r="AF79" s="7"/>
      <c r="AG79" s="7"/>
      <c r="AH79" s="22" t="s">
        <v>3</v>
      </c>
      <c r="AK79" s="47"/>
      <c r="AL79" s="26"/>
      <c r="AM79" s="29">
        <v>0</v>
      </c>
    </row>
    <row r="80" spans="1:94" ht="15.75" thickBot="1" x14ac:dyDescent="0.25">
      <c r="B80" s="244"/>
      <c r="C80" s="24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K80" s="47"/>
      <c r="AL80" s="23"/>
      <c r="AM80" s="28"/>
    </row>
    <row r="81" spans="2:39" ht="24.75" x14ac:dyDescent="0.35">
      <c r="B81" s="244"/>
      <c r="C81" s="244"/>
      <c r="D81" s="194">
        <v>46388</v>
      </c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6"/>
      <c r="AI81" s="140"/>
      <c r="AJ81" s="146" t="s">
        <v>59</v>
      </c>
      <c r="AK81" s="47">
        <f>SUM(AK75+2.5-AM79)</f>
        <v>57.5</v>
      </c>
      <c r="AL81" s="23"/>
      <c r="AM81" s="24"/>
    </row>
    <row r="82" spans="2:39" x14ac:dyDescent="0.2">
      <c r="B82" s="244"/>
      <c r="C82" s="244"/>
      <c r="D82" s="4">
        <v>1</v>
      </c>
      <c r="E82" s="10">
        <v>2</v>
      </c>
      <c r="F82" s="10">
        <v>3</v>
      </c>
      <c r="G82" s="1">
        <v>4</v>
      </c>
      <c r="H82" s="1">
        <v>5</v>
      </c>
      <c r="I82" s="1">
        <v>6</v>
      </c>
      <c r="J82" s="1">
        <v>7</v>
      </c>
      <c r="K82" s="1">
        <v>8</v>
      </c>
      <c r="L82" s="10">
        <v>9</v>
      </c>
      <c r="M82" s="10">
        <v>10</v>
      </c>
      <c r="N82" s="1">
        <v>11</v>
      </c>
      <c r="O82" s="1">
        <v>12</v>
      </c>
      <c r="P82" s="1">
        <v>13</v>
      </c>
      <c r="Q82" s="1">
        <v>14</v>
      </c>
      <c r="R82" s="1">
        <v>15</v>
      </c>
      <c r="S82" s="10">
        <v>16</v>
      </c>
      <c r="T82" s="10">
        <v>17</v>
      </c>
      <c r="U82" s="1">
        <v>18</v>
      </c>
      <c r="V82" s="1">
        <v>19</v>
      </c>
      <c r="W82" s="1">
        <v>20</v>
      </c>
      <c r="X82" s="1">
        <v>21</v>
      </c>
      <c r="Y82" s="1">
        <v>22</v>
      </c>
      <c r="Z82" s="10">
        <v>23</v>
      </c>
      <c r="AA82" s="10">
        <v>24</v>
      </c>
      <c r="AB82" s="1">
        <v>25</v>
      </c>
      <c r="AC82" s="1">
        <v>26</v>
      </c>
      <c r="AD82" s="1">
        <v>27</v>
      </c>
      <c r="AE82" s="1">
        <v>28</v>
      </c>
      <c r="AF82" s="1">
        <v>29</v>
      </c>
      <c r="AG82" s="10">
        <v>30</v>
      </c>
      <c r="AH82" s="40">
        <v>31</v>
      </c>
      <c r="AI82" s="146" t="s">
        <v>86</v>
      </c>
      <c r="AK82" s="47"/>
      <c r="AL82" s="23"/>
      <c r="AM82" s="24"/>
    </row>
    <row r="83" spans="2:39" ht="24.75" x14ac:dyDescent="0.35">
      <c r="B83" s="244"/>
      <c r="C83" s="244"/>
      <c r="D83" s="318" t="s">
        <v>92</v>
      </c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231" t="s">
        <v>93</v>
      </c>
      <c r="AG83" s="231"/>
      <c r="AH83" s="232"/>
      <c r="AI83" s="140">
        <f>SUM(AI55:AI82)</f>
        <v>30</v>
      </c>
      <c r="AK83" s="47"/>
      <c r="AL83" s="23"/>
      <c r="AM83" s="24"/>
    </row>
    <row r="84" spans="2:39" ht="25.5" thickBot="1" x14ac:dyDescent="0.4">
      <c r="B84" s="244"/>
      <c r="C84" s="244"/>
      <c r="D84" s="4"/>
      <c r="E84" s="10"/>
      <c r="F84" s="10"/>
      <c r="G84" s="1"/>
      <c r="H84" s="1"/>
      <c r="I84" s="1"/>
      <c r="J84" s="1"/>
      <c r="K84" s="1"/>
      <c r="L84" s="10"/>
      <c r="M84" s="10"/>
      <c r="N84" s="1"/>
      <c r="O84" s="1"/>
      <c r="P84" s="1"/>
      <c r="Q84" s="1"/>
      <c r="R84" s="1"/>
      <c r="S84" s="10"/>
      <c r="T84" s="10"/>
      <c r="U84" s="1"/>
      <c r="V84" s="1"/>
      <c r="W84" s="1"/>
      <c r="X84" s="1"/>
      <c r="Y84" s="1"/>
      <c r="Z84" s="10"/>
      <c r="AA84" s="10"/>
      <c r="AB84" s="1"/>
      <c r="AC84" s="1"/>
      <c r="AD84" s="1"/>
      <c r="AE84" s="1"/>
      <c r="AF84" s="1"/>
      <c r="AG84" s="10"/>
      <c r="AH84" s="40"/>
      <c r="AI84" s="140"/>
      <c r="AK84" s="47"/>
      <c r="AL84" s="23"/>
      <c r="AM84" s="27"/>
    </row>
    <row r="85" spans="2:39" ht="15.75" thickBot="1" x14ac:dyDescent="0.25">
      <c r="B85" s="244"/>
      <c r="C85" s="244"/>
      <c r="D85" s="21" t="s">
        <v>2</v>
      </c>
      <c r="E85" s="10"/>
      <c r="F85" s="10"/>
      <c r="G85" s="1"/>
      <c r="H85" s="1"/>
      <c r="I85" s="1"/>
      <c r="J85" s="1"/>
      <c r="K85" s="1"/>
      <c r="L85" s="10"/>
      <c r="M85" s="10"/>
      <c r="N85" s="1"/>
      <c r="O85" s="1"/>
      <c r="P85" s="1"/>
      <c r="Q85" s="1"/>
      <c r="R85" s="1"/>
      <c r="S85" s="10"/>
      <c r="T85" s="10"/>
      <c r="U85" s="141" t="s">
        <v>81</v>
      </c>
      <c r="V85" s="1"/>
      <c r="W85" s="1"/>
      <c r="X85" s="1"/>
      <c r="Y85" s="1"/>
      <c r="Z85" s="10"/>
      <c r="AA85" s="10"/>
      <c r="AB85" s="1"/>
      <c r="AC85" s="1"/>
      <c r="AD85" s="1"/>
      <c r="AE85" s="1"/>
      <c r="AF85" s="1"/>
      <c r="AG85" s="10"/>
      <c r="AH85" s="40"/>
      <c r="AK85" s="47"/>
      <c r="AL85" s="26"/>
      <c r="AM85" s="29">
        <v>3</v>
      </c>
    </row>
    <row r="86" spans="2:39" ht="15.75" thickBot="1" x14ac:dyDescent="0.25">
      <c r="B86" s="244"/>
      <c r="C86" s="244"/>
      <c r="AK86" s="47"/>
      <c r="AL86" s="23"/>
      <c r="AM86" s="28"/>
    </row>
    <row r="87" spans="2:39" x14ac:dyDescent="0.2">
      <c r="B87" s="244"/>
      <c r="C87" s="244"/>
      <c r="D87" s="194">
        <v>46419</v>
      </c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6"/>
      <c r="AJ87" s="146" t="s">
        <v>60</v>
      </c>
      <c r="AK87" s="47">
        <f>SUM(AK81+2.5-AM85)</f>
        <v>57</v>
      </c>
      <c r="AL87" s="23"/>
      <c r="AM87" s="24"/>
    </row>
    <row r="88" spans="2:39" x14ac:dyDescent="0.2">
      <c r="B88" s="244"/>
      <c r="C88" s="244"/>
      <c r="D88" s="4">
        <v>1</v>
      </c>
      <c r="E88" s="1">
        <v>2</v>
      </c>
      <c r="F88" s="1">
        <v>3</v>
      </c>
      <c r="G88" s="1">
        <v>4</v>
      </c>
      <c r="H88" s="1">
        <v>5</v>
      </c>
      <c r="I88" s="38">
        <v>6</v>
      </c>
      <c r="J88" s="38">
        <v>7</v>
      </c>
      <c r="K88" s="1">
        <v>8</v>
      </c>
      <c r="L88" s="1">
        <v>9</v>
      </c>
      <c r="M88" s="1">
        <v>10</v>
      </c>
      <c r="N88" s="1">
        <v>11</v>
      </c>
      <c r="O88" s="1">
        <v>12</v>
      </c>
      <c r="P88" s="38">
        <v>13</v>
      </c>
      <c r="Q88" s="38">
        <v>14</v>
      </c>
      <c r="R88" s="1">
        <v>15</v>
      </c>
      <c r="S88" s="1">
        <v>16</v>
      </c>
      <c r="T88" s="1">
        <v>17</v>
      </c>
      <c r="U88" s="1">
        <v>18</v>
      </c>
      <c r="V88" s="1">
        <v>19</v>
      </c>
      <c r="W88" s="38">
        <v>20</v>
      </c>
      <c r="X88" s="38">
        <v>21</v>
      </c>
      <c r="Y88" s="1">
        <v>22</v>
      </c>
      <c r="Z88" s="1">
        <v>23</v>
      </c>
      <c r="AA88" s="62">
        <v>24</v>
      </c>
      <c r="AB88" s="62">
        <v>25</v>
      </c>
      <c r="AC88" s="62">
        <v>26</v>
      </c>
      <c r="AD88" s="103">
        <v>27</v>
      </c>
      <c r="AE88" s="103">
        <v>28</v>
      </c>
      <c r="AF88" s="1"/>
      <c r="AG88" s="1"/>
      <c r="AH88" s="5"/>
      <c r="AK88" s="47"/>
      <c r="AL88" s="23"/>
      <c r="AM88" s="24"/>
    </row>
    <row r="89" spans="2:39" x14ac:dyDescent="0.2">
      <c r="B89" s="244"/>
      <c r="C89" s="244"/>
      <c r="D89" s="376" t="s">
        <v>94</v>
      </c>
      <c r="E89" s="377"/>
      <c r="F89" s="377"/>
      <c r="G89" s="377"/>
      <c r="H89" s="377"/>
      <c r="I89" s="377"/>
      <c r="J89" s="377"/>
      <c r="K89" s="377"/>
      <c r="L89" s="377"/>
      <c r="M89" s="377"/>
      <c r="N89" s="377"/>
      <c r="O89" s="377"/>
      <c r="P89" s="377"/>
      <c r="Q89" s="377"/>
      <c r="R89" s="377"/>
      <c r="S89" s="377"/>
      <c r="T89" s="377"/>
      <c r="U89" s="377"/>
      <c r="V89" s="377"/>
      <c r="W89" s="377"/>
      <c r="X89" s="377"/>
      <c r="Y89" s="377"/>
      <c r="Z89" s="377"/>
      <c r="AA89" s="377"/>
      <c r="AB89" s="377"/>
      <c r="AC89" s="377"/>
      <c r="AD89" s="377"/>
      <c r="AE89" s="378"/>
      <c r="AF89" s="102"/>
      <c r="AG89" s="1"/>
      <c r="AH89" s="5"/>
      <c r="AK89" s="47"/>
      <c r="AL89" s="23"/>
      <c r="AM89" s="24"/>
    </row>
    <row r="90" spans="2:39" ht="15.75" thickBot="1" x14ac:dyDescent="0.25">
      <c r="B90" s="244"/>
      <c r="C90" s="244"/>
      <c r="D90" s="4"/>
      <c r="E90" s="1"/>
      <c r="F90" s="1"/>
      <c r="G90" s="1"/>
      <c r="H90" s="1"/>
      <c r="I90" s="38"/>
      <c r="J90" s="38"/>
      <c r="K90" s="1"/>
      <c r="L90" s="1"/>
      <c r="M90" s="1"/>
      <c r="N90" s="1"/>
      <c r="O90" s="1"/>
      <c r="P90" s="38"/>
      <c r="Q90" s="38"/>
      <c r="R90" s="1"/>
      <c r="S90" s="1"/>
      <c r="T90" s="1"/>
      <c r="U90" s="1"/>
      <c r="V90" s="1"/>
      <c r="W90" s="38"/>
      <c r="X90" s="38"/>
      <c r="Y90" s="1"/>
      <c r="Z90" s="1"/>
      <c r="AA90" s="59"/>
      <c r="AB90" s="59"/>
      <c r="AC90" s="59"/>
      <c r="AD90" s="104"/>
      <c r="AE90" s="104"/>
      <c r="AF90" s="1"/>
      <c r="AG90" s="1"/>
      <c r="AH90" s="5"/>
      <c r="AK90" s="47"/>
      <c r="AL90" s="23"/>
      <c r="AM90" s="27"/>
    </row>
    <row r="91" spans="2:39" ht="15.75" thickBot="1" x14ac:dyDescent="0.25">
      <c r="B91" s="244"/>
      <c r="C91" s="244"/>
      <c r="D91" s="4"/>
      <c r="E91" s="1"/>
      <c r="F91" s="1"/>
      <c r="G91" s="1"/>
      <c r="H91" s="1"/>
      <c r="I91" s="38"/>
      <c r="J91" s="38"/>
      <c r="K91" s="22" t="s">
        <v>9</v>
      </c>
      <c r="L91" s="1"/>
      <c r="M91" s="1"/>
      <c r="N91" s="1"/>
      <c r="O91" s="1"/>
      <c r="P91" s="38"/>
      <c r="Q91" s="38"/>
      <c r="R91" s="141" t="s">
        <v>82</v>
      </c>
      <c r="S91" s="1"/>
      <c r="T91" s="1"/>
      <c r="U91" s="1"/>
      <c r="V91" s="1"/>
      <c r="W91" s="38"/>
      <c r="X91" s="38"/>
      <c r="Y91" s="1"/>
      <c r="Z91" s="1"/>
      <c r="AA91" s="1"/>
      <c r="AB91" s="1"/>
      <c r="AC91" s="1"/>
      <c r="AD91" s="38"/>
      <c r="AE91" s="38"/>
      <c r="AF91" s="1"/>
      <c r="AG91" s="1"/>
      <c r="AH91" s="5"/>
      <c r="AK91" s="47"/>
      <c r="AL91" s="26"/>
      <c r="AM91" s="29">
        <v>28</v>
      </c>
    </row>
    <row r="92" spans="2:39" ht="15.75" thickBot="1" x14ac:dyDescent="0.25">
      <c r="B92" s="244"/>
      <c r="C92" s="24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K92" s="47"/>
      <c r="AL92" s="23"/>
      <c r="AM92" s="28"/>
    </row>
    <row r="93" spans="2:39" x14ac:dyDescent="0.2">
      <c r="B93" s="244"/>
      <c r="C93" s="244"/>
      <c r="D93" s="194">
        <v>46447</v>
      </c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6"/>
      <c r="AJ93" s="146" t="s">
        <v>61</v>
      </c>
      <c r="AK93" s="47">
        <f>SUM(AK87+2.5-AM91)</f>
        <v>31.5</v>
      </c>
      <c r="AL93" s="23"/>
      <c r="AM93" s="24"/>
    </row>
    <row r="94" spans="2:39" x14ac:dyDescent="0.2">
      <c r="B94" s="244"/>
      <c r="C94" s="244"/>
      <c r="D94" s="4">
        <v>1</v>
      </c>
      <c r="E94" s="1">
        <v>2</v>
      </c>
      <c r="F94" s="1">
        <v>3</v>
      </c>
      <c r="G94" s="1">
        <v>4</v>
      </c>
      <c r="H94" s="1">
        <v>5</v>
      </c>
      <c r="I94" s="10">
        <v>6</v>
      </c>
      <c r="J94" s="10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0">
        <v>13</v>
      </c>
      <c r="Q94" s="10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0">
        <v>20</v>
      </c>
      <c r="X94" s="10">
        <v>21</v>
      </c>
      <c r="Y94" s="1">
        <v>22</v>
      </c>
      <c r="Z94" s="1">
        <v>23</v>
      </c>
      <c r="AA94" s="1">
        <v>24</v>
      </c>
      <c r="AB94" s="1">
        <v>25</v>
      </c>
      <c r="AC94" s="1">
        <v>26</v>
      </c>
      <c r="AD94" s="10">
        <v>27</v>
      </c>
      <c r="AE94" s="10">
        <v>28</v>
      </c>
      <c r="AF94" s="1">
        <v>29</v>
      </c>
      <c r="AG94" s="1">
        <v>30</v>
      </c>
      <c r="AH94" s="5">
        <v>31</v>
      </c>
      <c r="AK94" s="47"/>
      <c r="AL94" s="23"/>
      <c r="AM94" s="24"/>
    </row>
    <row r="95" spans="2:39" ht="15.75" thickBot="1" x14ac:dyDescent="0.25">
      <c r="B95" s="244"/>
      <c r="C95" s="244"/>
      <c r="D95" s="278" t="s">
        <v>95</v>
      </c>
      <c r="E95" s="278"/>
      <c r="F95" s="278"/>
      <c r="G95" s="278"/>
      <c r="H95" s="278"/>
      <c r="I95" s="278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  <c r="AC95" s="278"/>
      <c r="AD95" s="278"/>
      <c r="AE95" s="278"/>
      <c r="AF95" s="278"/>
      <c r="AG95" s="278"/>
      <c r="AH95" s="279"/>
      <c r="AK95" s="47"/>
      <c r="AL95" s="23"/>
      <c r="AM95" s="24"/>
    </row>
    <row r="96" spans="2:39" ht="15.75" thickBot="1" x14ac:dyDescent="0.25">
      <c r="B96" s="244"/>
      <c r="C96" s="244"/>
      <c r="D96" s="4"/>
      <c r="E96" s="1"/>
      <c r="F96" s="1"/>
      <c r="G96" s="1"/>
      <c r="H96" s="1"/>
      <c r="I96" s="10"/>
      <c r="J96" s="10"/>
      <c r="K96" s="1"/>
      <c r="L96" s="1"/>
      <c r="M96" s="1"/>
      <c r="N96" s="1"/>
      <c r="O96" s="1"/>
      <c r="P96" s="10"/>
      <c r="Q96" s="10"/>
      <c r="R96" s="1"/>
      <c r="S96" s="1"/>
      <c r="T96" s="1"/>
      <c r="U96" s="1"/>
      <c r="V96" s="1"/>
      <c r="W96" s="10"/>
      <c r="X96" s="10"/>
      <c r="Y96" s="1"/>
      <c r="Z96" s="1"/>
      <c r="AA96" s="1"/>
      <c r="AB96" s="1"/>
      <c r="AC96" s="1"/>
      <c r="AD96" s="10"/>
      <c r="AE96" s="10"/>
      <c r="AF96" s="1"/>
      <c r="AG96" s="1"/>
      <c r="AH96" s="5"/>
      <c r="AK96" s="47"/>
      <c r="AL96" s="23"/>
      <c r="AM96" s="27"/>
    </row>
    <row r="97" spans="2:39" ht="15.75" thickBot="1" x14ac:dyDescent="0.25">
      <c r="B97" s="244"/>
      <c r="C97" s="244"/>
      <c r="D97" s="4"/>
      <c r="E97" s="1"/>
      <c r="F97" s="1"/>
      <c r="G97" s="1"/>
      <c r="H97" s="1"/>
      <c r="I97" s="10"/>
      <c r="J97" s="10"/>
      <c r="K97" s="1"/>
      <c r="L97" s="1"/>
      <c r="M97" s="1"/>
      <c r="N97" s="1"/>
      <c r="O97" s="1"/>
      <c r="P97" s="10"/>
      <c r="Q97" s="10"/>
      <c r="R97" s="1"/>
      <c r="S97" s="1"/>
      <c r="T97" s="1"/>
      <c r="U97" s="1"/>
      <c r="V97" s="1"/>
      <c r="W97" s="10"/>
      <c r="X97" s="10"/>
      <c r="Y97" s="1"/>
      <c r="Z97" s="1"/>
      <c r="AA97" s="1"/>
      <c r="AB97" s="1"/>
      <c r="AC97" s="1"/>
      <c r="AD97" s="10"/>
      <c r="AE97" s="10"/>
      <c r="AF97" s="1"/>
      <c r="AG97" s="1"/>
      <c r="AH97" s="5"/>
      <c r="AK97" s="47"/>
      <c r="AL97" s="26"/>
      <c r="AM97" s="29">
        <v>31</v>
      </c>
    </row>
    <row r="98" spans="2:39" ht="35.25" thickBot="1" x14ac:dyDescent="0.55000000000000004">
      <c r="B98" s="244"/>
      <c r="C98" s="244"/>
      <c r="AI98" s="53">
        <f>AK117</f>
        <v>0.5</v>
      </c>
      <c r="AK98" s="47"/>
      <c r="AL98" s="23"/>
      <c r="AM98" s="28"/>
    </row>
    <row r="99" spans="2:39" x14ac:dyDescent="0.2">
      <c r="B99" s="244"/>
      <c r="C99" s="244"/>
      <c r="D99" s="194">
        <v>46478</v>
      </c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6"/>
      <c r="AJ99" s="146" t="s">
        <v>62</v>
      </c>
      <c r="AK99" s="47">
        <f>SUM(AK93-AM97)</f>
        <v>0.5</v>
      </c>
      <c r="AL99" s="23"/>
      <c r="AM99" s="24"/>
    </row>
    <row r="100" spans="2:39" x14ac:dyDescent="0.2">
      <c r="B100" s="244"/>
      <c r="C100" s="244"/>
      <c r="D100" s="61">
        <v>1</v>
      </c>
      <c r="E100" s="62">
        <v>2</v>
      </c>
      <c r="F100" s="63">
        <v>3</v>
      </c>
      <c r="G100" s="63">
        <v>4</v>
      </c>
      <c r="H100" s="62">
        <v>5</v>
      </c>
      <c r="I100" s="62">
        <v>6</v>
      </c>
      <c r="J100" s="62">
        <v>7</v>
      </c>
      <c r="K100" s="62">
        <v>8</v>
      </c>
      <c r="L100" s="62">
        <v>9</v>
      </c>
      <c r="M100" s="63">
        <v>10</v>
      </c>
      <c r="N100" s="63">
        <v>11</v>
      </c>
      <c r="O100" s="62">
        <v>12</v>
      </c>
      <c r="P100" s="62">
        <v>13</v>
      </c>
      <c r="Q100" s="62">
        <v>14</v>
      </c>
      <c r="R100" s="62">
        <v>15</v>
      </c>
      <c r="S100" s="62">
        <v>16</v>
      </c>
      <c r="T100" s="63">
        <v>17</v>
      </c>
      <c r="U100" s="63">
        <v>18</v>
      </c>
      <c r="V100" s="62">
        <v>19</v>
      </c>
      <c r="W100" s="62">
        <v>20</v>
      </c>
      <c r="X100" s="62">
        <v>21</v>
      </c>
      <c r="Y100" s="62">
        <v>22</v>
      </c>
      <c r="Z100" s="62">
        <v>23</v>
      </c>
      <c r="AA100" s="63">
        <v>24</v>
      </c>
      <c r="AB100" s="63">
        <v>25</v>
      </c>
      <c r="AC100" s="62">
        <v>26</v>
      </c>
      <c r="AD100" s="62">
        <v>27</v>
      </c>
      <c r="AE100" s="62">
        <v>28</v>
      </c>
      <c r="AF100" s="62">
        <v>29</v>
      </c>
      <c r="AG100" s="62">
        <v>30</v>
      </c>
      <c r="AH100" s="5"/>
      <c r="AK100" s="47"/>
      <c r="AL100" s="23"/>
      <c r="AM100" s="24"/>
    </row>
    <row r="101" spans="2:39" ht="15.75" thickBot="1" x14ac:dyDescent="0.25">
      <c r="B101" s="244"/>
      <c r="C101" s="244"/>
      <c r="D101" s="51" t="s">
        <v>30</v>
      </c>
      <c r="E101" s="59"/>
      <c r="F101" s="60"/>
      <c r="G101" s="60"/>
      <c r="H101" s="59"/>
      <c r="I101" s="59"/>
      <c r="J101" s="59"/>
      <c r="K101" s="59"/>
      <c r="L101" s="59"/>
      <c r="M101" s="60"/>
      <c r="N101" s="60"/>
      <c r="O101" s="59"/>
      <c r="P101" s="59"/>
      <c r="Q101" s="59"/>
      <c r="R101" s="59"/>
      <c r="S101" s="59"/>
      <c r="T101" s="60"/>
      <c r="U101" s="60"/>
      <c r="V101" s="59"/>
      <c r="W101" s="59"/>
      <c r="X101" s="59"/>
      <c r="Y101" s="59"/>
      <c r="Z101" s="59"/>
      <c r="AA101" s="60"/>
      <c r="AB101" s="60"/>
      <c r="AC101" s="59"/>
      <c r="AD101" s="59"/>
      <c r="AE101" s="59"/>
      <c r="AF101" s="59"/>
      <c r="AG101" s="59"/>
      <c r="AH101" s="65"/>
      <c r="AK101" s="47"/>
      <c r="AL101" s="23"/>
      <c r="AM101" s="24"/>
    </row>
    <row r="102" spans="2:39" ht="15.75" thickBot="1" x14ac:dyDescent="0.25">
      <c r="B102" s="244"/>
      <c r="C102" s="244"/>
      <c r="D102" s="51"/>
      <c r="E102" s="59"/>
      <c r="F102" s="60"/>
      <c r="G102" s="60"/>
      <c r="H102" s="59"/>
      <c r="I102" s="59"/>
      <c r="J102" s="59"/>
      <c r="K102" s="59"/>
      <c r="L102" s="59"/>
      <c r="M102" s="60"/>
      <c r="N102" s="60"/>
      <c r="O102" s="59"/>
      <c r="P102" s="59"/>
      <c r="Q102" s="59"/>
      <c r="R102" s="59"/>
      <c r="S102" s="59"/>
      <c r="T102" s="60"/>
      <c r="U102" s="60"/>
      <c r="V102" s="59"/>
      <c r="W102" s="59"/>
      <c r="X102" s="59"/>
      <c r="Y102" s="59"/>
      <c r="Z102" s="59"/>
      <c r="AA102" s="60"/>
      <c r="AB102" s="60"/>
      <c r="AC102" s="59"/>
      <c r="AD102" s="59"/>
      <c r="AE102" s="59"/>
      <c r="AF102" s="59"/>
      <c r="AG102" s="59"/>
      <c r="AH102" s="5"/>
      <c r="AK102" s="47"/>
      <c r="AL102" s="23"/>
      <c r="AM102" s="27"/>
    </row>
    <row r="103" spans="2:39" ht="15.75" thickBot="1" x14ac:dyDescent="0.25">
      <c r="B103" s="244"/>
      <c r="C103" s="244"/>
      <c r="D103" s="51"/>
      <c r="E103" s="1"/>
      <c r="F103" s="10"/>
      <c r="G103" s="10"/>
      <c r="H103" s="1"/>
      <c r="I103" s="1"/>
      <c r="J103" s="1"/>
      <c r="K103" s="1"/>
      <c r="L103" s="1"/>
      <c r="M103" s="10"/>
      <c r="N103" s="10"/>
      <c r="O103" s="1"/>
      <c r="P103" s="1"/>
      <c r="Q103" s="1"/>
      <c r="R103" s="1"/>
      <c r="S103" s="1"/>
      <c r="T103" s="10"/>
      <c r="U103" s="10"/>
      <c r="V103" s="1"/>
      <c r="W103" s="1"/>
      <c r="X103" s="1"/>
      <c r="Y103" s="1"/>
      <c r="Z103" s="1"/>
      <c r="AA103" s="10"/>
      <c r="AB103" s="10"/>
      <c r="AC103" s="1"/>
      <c r="AD103" s="1"/>
      <c r="AE103" s="1"/>
      <c r="AF103" s="1"/>
      <c r="AG103" s="1"/>
      <c r="AH103" s="5"/>
      <c r="AK103" s="47"/>
      <c r="AL103" s="26"/>
      <c r="AM103" s="29">
        <v>0</v>
      </c>
    </row>
    <row r="104" spans="2:39" ht="15.75" thickBot="1" x14ac:dyDescent="0.25">
      <c r="B104" s="244"/>
      <c r="C104" s="244"/>
      <c r="AK104" s="47"/>
      <c r="AL104" s="23"/>
      <c r="AM104" s="28"/>
    </row>
    <row r="105" spans="2:39" x14ac:dyDescent="0.2">
      <c r="B105" s="244"/>
      <c r="C105" s="244"/>
      <c r="D105" s="194">
        <v>46508</v>
      </c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6"/>
      <c r="AJ105" s="146" t="s">
        <v>51</v>
      </c>
      <c r="AK105" s="47">
        <f>SUM(AK99-AM103)</f>
        <v>0.5</v>
      </c>
      <c r="AL105" s="23"/>
      <c r="AM105" s="24"/>
    </row>
    <row r="106" spans="2:39" x14ac:dyDescent="0.2">
      <c r="B106" s="244"/>
      <c r="C106" s="244"/>
      <c r="D106" s="12">
        <v>1</v>
      </c>
      <c r="E106" s="10">
        <v>2</v>
      </c>
      <c r="F106" s="1">
        <v>3</v>
      </c>
      <c r="G106" s="1">
        <v>4</v>
      </c>
      <c r="H106" s="1">
        <v>5</v>
      </c>
      <c r="I106" s="1">
        <v>6</v>
      </c>
      <c r="J106" s="1">
        <v>7</v>
      </c>
      <c r="K106" s="10">
        <v>8</v>
      </c>
      <c r="L106" s="10">
        <v>9</v>
      </c>
      <c r="M106" s="1">
        <v>10</v>
      </c>
      <c r="N106" s="1">
        <v>11</v>
      </c>
      <c r="O106" s="1">
        <v>12</v>
      </c>
      <c r="P106" s="1">
        <v>13</v>
      </c>
      <c r="Q106" s="1">
        <v>14</v>
      </c>
      <c r="R106" s="10">
        <v>15</v>
      </c>
      <c r="S106" s="10">
        <v>16</v>
      </c>
      <c r="T106" s="1">
        <v>17</v>
      </c>
      <c r="U106" s="1">
        <v>18</v>
      </c>
      <c r="V106" s="1">
        <v>19</v>
      </c>
      <c r="W106" s="1">
        <v>20</v>
      </c>
      <c r="X106" s="1">
        <v>21</v>
      </c>
      <c r="Y106" s="10">
        <v>22</v>
      </c>
      <c r="Z106" s="10">
        <v>23</v>
      </c>
      <c r="AA106" s="1">
        <v>24</v>
      </c>
      <c r="AB106" s="1">
        <v>25</v>
      </c>
      <c r="AC106" s="1">
        <v>26</v>
      </c>
      <c r="AD106" s="1">
        <v>27</v>
      </c>
      <c r="AE106" s="1">
        <v>28</v>
      </c>
      <c r="AF106" s="10">
        <v>29</v>
      </c>
      <c r="AG106" s="10">
        <v>30</v>
      </c>
      <c r="AH106" s="5">
        <v>31</v>
      </c>
      <c r="AK106" s="47"/>
      <c r="AL106" s="23"/>
      <c r="AM106" s="24"/>
    </row>
    <row r="107" spans="2:39" x14ac:dyDescent="0.2">
      <c r="B107" s="244"/>
      <c r="C107" s="244"/>
      <c r="D107" s="10"/>
      <c r="E107" s="10"/>
      <c r="F107" s="1"/>
      <c r="G107" s="1"/>
      <c r="H107" s="1"/>
      <c r="I107" s="1"/>
      <c r="J107" s="1"/>
      <c r="K107" s="10"/>
      <c r="L107" s="10"/>
      <c r="M107" s="1"/>
      <c r="N107" s="1"/>
      <c r="O107" s="1"/>
      <c r="P107" s="1"/>
      <c r="Q107" s="1"/>
      <c r="R107" s="10"/>
      <c r="S107" s="10"/>
      <c r="T107" s="1"/>
      <c r="U107" s="1"/>
      <c r="V107" s="1"/>
      <c r="W107" s="1"/>
      <c r="X107" s="1"/>
      <c r="Y107" s="10"/>
      <c r="Z107" s="10"/>
      <c r="AA107" s="1"/>
      <c r="AB107" s="1"/>
      <c r="AC107" s="1"/>
      <c r="AD107" s="1"/>
      <c r="AE107" s="1"/>
      <c r="AF107" s="10"/>
      <c r="AG107" s="10"/>
      <c r="AH107" s="5"/>
      <c r="AK107" s="47"/>
      <c r="AL107" s="23"/>
      <c r="AM107" s="24"/>
    </row>
    <row r="108" spans="2:39" ht="15.75" thickBot="1" x14ac:dyDescent="0.25">
      <c r="B108" s="244"/>
      <c r="C108" s="244"/>
      <c r="D108" s="10"/>
      <c r="E108" s="10"/>
      <c r="F108" s="1"/>
      <c r="G108" s="1"/>
      <c r="H108" s="1"/>
      <c r="I108" s="1"/>
      <c r="J108" s="1"/>
      <c r="K108" s="10"/>
      <c r="L108" s="10"/>
      <c r="M108" s="1"/>
      <c r="N108" s="1"/>
      <c r="O108" s="1"/>
      <c r="P108" s="1"/>
      <c r="Q108" s="1"/>
      <c r="R108" s="10"/>
      <c r="S108" s="10"/>
      <c r="T108" s="1"/>
      <c r="U108" s="1"/>
      <c r="V108" s="1"/>
      <c r="W108" s="1"/>
      <c r="X108" s="1"/>
      <c r="Y108" s="10"/>
      <c r="Z108" s="10"/>
      <c r="AA108" s="1"/>
      <c r="AB108" s="1"/>
      <c r="AC108" s="1"/>
      <c r="AD108" s="1"/>
      <c r="AE108" s="1"/>
      <c r="AF108" s="10"/>
      <c r="AG108" s="10"/>
      <c r="AH108" s="5"/>
      <c r="AK108" s="47"/>
      <c r="AL108" s="23"/>
      <c r="AM108" s="27"/>
    </row>
    <row r="109" spans="2:39" ht="15.75" thickBot="1" x14ac:dyDescent="0.25">
      <c r="B109" s="244"/>
      <c r="C109" s="244"/>
      <c r="D109" s="10"/>
      <c r="E109" s="10"/>
      <c r="F109" s="1"/>
      <c r="G109" s="1"/>
      <c r="H109" s="1"/>
      <c r="I109" s="1"/>
      <c r="J109" s="1"/>
      <c r="K109" s="10"/>
      <c r="L109" s="10"/>
      <c r="M109" s="1"/>
      <c r="N109" s="1"/>
      <c r="O109" s="1"/>
      <c r="P109" s="1"/>
      <c r="Q109" s="1"/>
      <c r="R109" s="10"/>
      <c r="S109" s="10"/>
      <c r="T109" s="1"/>
      <c r="U109" s="1"/>
      <c r="V109" s="1"/>
      <c r="W109" s="1"/>
      <c r="X109" s="1"/>
      <c r="Y109" s="10"/>
      <c r="Z109" s="10"/>
      <c r="AA109" s="1"/>
      <c r="AB109" s="1"/>
      <c r="AC109" s="1"/>
      <c r="AD109" s="1"/>
      <c r="AE109" s="1"/>
      <c r="AF109" s="10"/>
      <c r="AG109" s="10"/>
      <c r="AH109" s="5"/>
      <c r="AK109" s="47"/>
      <c r="AL109" s="26"/>
      <c r="AM109" s="29">
        <v>0</v>
      </c>
    </row>
    <row r="110" spans="2:39" ht="15.75" thickBot="1" x14ac:dyDescent="0.25">
      <c r="B110" s="244"/>
      <c r="C110" s="244"/>
      <c r="AK110" s="47"/>
      <c r="AL110" s="23"/>
      <c r="AM110" s="28"/>
    </row>
    <row r="111" spans="2:39" x14ac:dyDescent="0.2">
      <c r="B111" s="244"/>
      <c r="C111" s="244"/>
      <c r="D111" s="194">
        <v>46539</v>
      </c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6"/>
      <c r="AJ111" s="146" t="s">
        <v>52</v>
      </c>
      <c r="AK111" s="47">
        <f>SUM(AK105-AM109)</f>
        <v>0.5</v>
      </c>
      <c r="AL111" s="23"/>
      <c r="AM111" s="24"/>
    </row>
    <row r="112" spans="2:39" x14ac:dyDescent="0.2">
      <c r="B112" s="244"/>
      <c r="C112" s="244"/>
      <c r="D112" s="4">
        <v>1</v>
      </c>
      <c r="E112" s="1">
        <v>2</v>
      </c>
      <c r="F112" s="1">
        <v>3</v>
      </c>
      <c r="G112" s="1">
        <v>4</v>
      </c>
      <c r="H112" s="10">
        <v>5</v>
      </c>
      <c r="I112" s="10">
        <v>6</v>
      </c>
      <c r="J112" s="1">
        <v>7</v>
      </c>
      <c r="K112" s="1">
        <v>8</v>
      </c>
      <c r="L112" s="1">
        <v>9</v>
      </c>
      <c r="M112" s="1">
        <v>10</v>
      </c>
      <c r="N112" s="1">
        <v>11</v>
      </c>
      <c r="O112" s="10">
        <v>12</v>
      </c>
      <c r="P112" s="10">
        <v>13</v>
      </c>
      <c r="Q112" s="1">
        <v>14</v>
      </c>
      <c r="R112" s="1">
        <v>15</v>
      </c>
      <c r="S112" s="1">
        <v>16</v>
      </c>
      <c r="T112" s="1">
        <v>17</v>
      </c>
      <c r="U112" s="1">
        <v>18</v>
      </c>
      <c r="V112" s="10">
        <v>19</v>
      </c>
      <c r="W112" s="10">
        <v>20</v>
      </c>
      <c r="X112" s="1">
        <v>21</v>
      </c>
      <c r="Y112" s="1">
        <v>22</v>
      </c>
      <c r="Z112" s="1">
        <v>23</v>
      </c>
      <c r="AA112" s="1">
        <v>24</v>
      </c>
      <c r="AB112" s="1">
        <v>25</v>
      </c>
      <c r="AC112" s="10">
        <v>26</v>
      </c>
      <c r="AD112" s="10">
        <v>27</v>
      </c>
      <c r="AE112" s="1">
        <v>28</v>
      </c>
      <c r="AF112" s="1">
        <v>29</v>
      </c>
      <c r="AG112" s="1">
        <v>30</v>
      </c>
      <c r="AH112" s="5"/>
      <c r="AK112" s="47"/>
      <c r="AL112" s="23"/>
      <c r="AM112" s="24"/>
    </row>
    <row r="113" spans="2:39" x14ac:dyDescent="0.2">
      <c r="B113" s="244"/>
      <c r="C113" s="244"/>
      <c r="D113" s="52"/>
      <c r="E113" s="1"/>
      <c r="F113" s="1"/>
      <c r="G113" s="1"/>
      <c r="H113" s="10"/>
      <c r="I113" s="10"/>
      <c r="J113" s="1"/>
      <c r="K113" s="1"/>
      <c r="L113" s="1"/>
      <c r="M113" s="1"/>
      <c r="N113" s="1"/>
      <c r="O113" s="10"/>
      <c r="P113" s="10"/>
      <c r="Q113" s="1"/>
      <c r="R113" s="1"/>
      <c r="S113" s="1"/>
      <c r="T113" s="1"/>
      <c r="U113" s="1"/>
      <c r="V113" s="10"/>
      <c r="W113" s="10"/>
      <c r="X113" s="1"/>
      <c r="Y113" s="1"/>
      <c r="Z113" s="1"/>
      <c r="AA113" s="1"/>
      <c r="AB113" s="1"/>
      <c r="AC113" s="10"/>
      <c r="AD113" s="10"/>
      <c r="AE113" s="1"/>
      <c r="AF113" s="1"/>
      <c r="AG113" s="1"/>
      <c r="AH113" s="5"/>
      <c r="AK113" s="47"/>
      <c r="AL113" s="23"/>
      <c r="AM113" s="24"/>
    </row>
    <row r="114" spans="2:39" ht="15.75" thickBot="1" x14ac:dyDescent="0.25">
      <c r="B114" s="244"/>
      <c r="C114" s="244"/>
      <c r="D114" s="52"/>
      <c r="E114" s="1"/>
      <c r="F114" s="1"/>
      <c r="G114" s="1"/>
      <c r="H114" s="10"/>
      <c r="I114" s="10"/>
      <c r="J114" s="1"/>
      <c r="K114" s="1"/>
      <c r="L114" s="1"/>
      <c r="M114" s="1"/>
      <c r="N114" s="1"/>
      <c r="O114" s="10"/>
      <c r="P114" s="10"/>
      <c r="Q114" s="1"/>
      <c r="R114" s="1"/>
      <c r="S114" s="1"/>
      <c r="T114" s="1"/>
      <c r="U114" s="1"/>
      <c r="V114" s="10"/>
      <c r="W114" s="10"/>
      <c r="X114" s="1"/>
      <c r="Y114" s="1"/>
      <c r="Z114" s="1"/>
      <c r="AA114" s="1"/>
      <c r="AB114" s="1"/>
      <c r="AC114" s="10"/>
      <c r="AD114" s="10"/>
      <c r="AE114" s="1"/>
      <c r="AF114" s="1"/>
      <c r="AG114" s="1"/>
      <c r="AH114" s="5"/>
      <c r="AK114" s="47"/>
      <c r="AL114" s="23"/>
      <c r="AM114" s="27"/>
    </row>
    <row r="115" spans="2:39" ht="15.75" thickBot="1" x14ac:dyDescent="0.25">
      <c r="B115" s="244"/>
      <c r="C115" s="244"/>
      <c r="D115" s="52"/>
      <c r="E115" s="1"/>
      <c r="F115" s="1"/>
      <c r="G115" s="1"/>
      <c r="H115" s="10"/>
      <c r="I115" s="10"/>
      <c r="J115" s="1"/>
      <c r="K115" s="1"/>
      <c r="L115" s="1"/>
      <c r="M115" s="1"/>
      <c r="N115" s="1"/>
      <c r="O115" s="10"/>
      <c r="P115" s="10"/>
      <c r="Q115" s="1"/>
      <c r="R115" s="1"/>
      <c r="S115" s="1"/>
      <c r="T115" s="1"/>
      <c r="U115" s="1"/>
      <c r="V115" s="10"/>
      <c r="W115" s="10"/>
      <c r="X115" s="1"/>
      <c r="Y115" s="1"/>
      <c r="Z115" s="1"/>
      <c r="AA115" s="1"/>
      <c r="AB115" s="1"/>
      <c r="AC115" s="10"/>
      <c r="AD115" s="10"/>
      <c r="AE115" s="1"/>
      <c r="AF115" s="1"/>
      <c r="AG115" s="1"/>
      <c r="AH115" s="5"/>
      <c r="AK115" s="48"/>
      <c r="AL115" s="26"/>
      <c r="AM115" s="29">
        <v>0</v>
      </c>
    </row>
    <row r="116" spans="2:39" ht="35.25" thickBot="1" x14ac:dyDescent="0.55000000000000004">
      <c r="AI116" s="55"/>
      <c r="AJ116" s="55"/>
      <c r="AK116" s="54" t="s">
        <v>11</v>
      </c>
      <c r="AL116" s="148"/>
      <c r="AM116" s="28"/>
    </row>
    <row r="117" spans="2:39" ht="35.25" thickBot="1" x14ac:dyDescent="0.55000000000000004">
      <c r="D117" s="194">
        <v>46569</v>
      </c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6"/>
      <c r="AI117" s="55"/>
      <c r="AJ117" s="55" t="s">
        <v>53</v>
      </c>
      <c r="AK117" s="53">
        <f>SUM(AK111-AM115)</f>
        <v>0.5</v>
      </c>
      <c r="AL117" s="148"/>
      <c r="AM117" s="24"/>
    </row>
    <row r="118" spans="2:39" x14ac:dyDescent="0.2">
      <c r="D118" s="16">
        <v>1</v>
      </c>
      <c r="E118" s="1">
        <v>2</v>
      </c>
      <c r="F118" s="10">
        <v>3</v>
      </c>
      <c r="G118" s="10">
        <v>4</v>
      </c>
      <c r="H118" s="1">
        <v>5</v>
      </c>
      <c r="I118" s="1">
        <v>6</v>
      </c>
      <c r="J118" s="1">
        <v>7</v>
      </c>
      <c r="K118" s="1">
        <v>8</v>
      </c>
      <c r="L118" s="1">
        <v>9</v>
      </c>
      <c r="M118" s="10">
        <v>10</v>
      </c>
      <c r="N118" s="10">
        <v>11</v>
      </c>
      <c r="O118" s="1">
        <v>12</v>
      </c>
      <c r="P118" s="1">
        <v>13</v>
      </c>
      <c r="Q118" s="1">
        <v>14</v>
      </c>
      <c r="R118" s="1">
        <v>15</v>
      </c>
      <c r="S118" s="1">
        <v>16</v>
      </c>
      <c r="T118" s="10">
        <v>17</v>
      </c>
      <c r="U118" s="10">
        <v>18</v>
      </c>
      <c r="V118" s="1">
        <v>19</v>
      </c>
      <c r="W118" s="1">
        <v>20</v>
      </c>
      <c r="X118" s="1">
        <v>21</v>
      </c>
      <c r="Y118" s="1">
        <v>22</v>
      </c>
      <c r="Z118" s="1">
        <v>23</v>
      </c>
      <c r="AA118" s="10">
        <v>24</v>
      </c>
      <c r="AB118" s="10">
        <v>25</v>
      </c>
      <c r="AC118" s="1">
        <v>26</v>
      </c>
      <c r="AD118" s="1">
        <v>27</v>
      </c>
      <c r="AE118" s="1">
        <v>28</v>
      </c>
      <c r="AF118" s="1">
        <v>29</v>
      </c>
      <c r="AG118" s="1">
        <v>30</v>
      </c>
      <c r="AH118" s="14">
        <v>31</v>
      </c>
      <c r="AK118" s="49"/>
      <c r="AL118" s="23"/>
      <c r="AM118" s="24"/>
    </row>
    <row r="119" spans="2:39" x14ac:dyDescent="0.2">
      <c r="D119" s="20" t="s">
        <v>1</v>
      </c>
      <c r="E119" s="1"/>
      <c r="F119" s="10"/>
      <c r="G119" s="10"/>
      <c r="H119" s="1"/>
      <c r="I119" s="1"/>
      <c r="J119" s="1"/>
      <c r="K119" s="1"/>
      <c r="L119" s="1"/>
      <c r="M119" s="10"/>
      <c r="N119" s="10"/>
      <c r="O119" s="1"/>
      <c r="P119" s="1"/>
      <c r="Q119" s="1"/>
      <c r="R119" s="1"/>
      <c r="S119" s="1"/>
      <c r="T119" s="10"/>
      <c r="U119" s="10"/>
      <c r="V119" s="1"/>
      <c r="W119" s="1"/>
      <c r="X119" s="1"/>
      <c r="Y119" s="1"/>
      <c r="Z119" s="1"/>
      <c r="AA119" s="10"/>
      <c r="AB119" s="10"/>
      <c r="AC119" s="1"/>
      <c r="AD119" s="1"/>
      <c r="AE119" s="1"/>
      <c r="AF119" s="1"/>
      <c r="AG119" s="1"/>
      <c r="AH119" s="14"/>
      <c r="AK119" s="47"/>
      <c r="AL119" s="23"/>
      <c r="AM119" s="24"/>
    </row>
    <row r="120" spans="2:39" x14ac:dyDescent="0.2">
      <c r="D120" s="16"/>
      <c r="E120" s="1"/>
      <c r="F120" s="10"/>
      <c r="G120" s="10"/>
      <c r="H120" s="1"/>
      <c r="I120" s="1"/>
      <c r="J120" s="1"/>
      <c r="K120" s="1"/>
      <c r="L120" s="1"/>
      <c r="M120" s="10"/>
      <c r="N120" s="10"/>
      <c r="O120" s="1"/>
      <c r="P120" s="1"/>
      <c r="Q120" s="1"/>
      <c r="R120" s="1"/>
      <c r="S120" s="1"/>
      <c r="T120" s="10"/>
      <c r="U120" s="10"/>
      <c r="V120" s="1"/>
      <c r="W120" s="1"/>
      <c r="X120" s="1"/>
      <c r="Y120" s="1"/>
      <c r="Z120" s="1"/>
      <c r="AA120" s="10"/>
      <c r="AB120" s="10"/>
      <c r="AC120" s="1"/>
      <c r="AD120" s="1"/>
      <c r="AE120" s="1"/>
      <c r="AF120" s="1"/>
      <c r="AG120" s="1"/>
      <c r="AH120" s="14"/>
      <c r="AK120" s="47"/>
      <c r="AL120" s="23"/>
      <c r="AM120" s="24"/>
    </row>
    <row r="121" spans="2:39" ht="15.75" thickBot="1" x14ac:dyDescent="0.25">
      <c r="D121" s="17"/>
      <c r="E121" s="7"/>
      <c r="F121" s="11"/>
      <c r="G121" s="11"/>
      <c r="H121" s="7"/>
      <c r="I121" s="7"/>
      <c r="J121" s="7"/>
      <c r="K121" s="7"/>
      <c r="L121" s="7"/>
      <c r="M121" s="11"/>
      <c r="N121" s="11"/>
      <c r="O121" s="7"/>
      <c r="P121" s="7"/>
      <c r="Q121" s="7"/>
      <c r="R121" s="7"/>
      <c r="S121" s="7"/>
      <c r="T121" s="11"/>
      <c r="U121" s="11"/>
      <c r="V121" s="7"/>
      <c r="W121" s="7"/>
      <c r="X121" s="7"/>
      <c r="Y121" s="7"/>
      <c r="Z121" s="7"/>
      <c r="AA121" s="11"/>
      <c r="AB121" s="11"/>
      <c r="AC121" s="7"/>
      <c r="AD121" s="7"/>
      <c r="AE121" s="7"/>
      <c r="AF121" s="7"/>
      <c r="AG121" s="7"/>
      <c r="AH121" s="15"/>
      <c r="AK121" s="47"/>
      <c r="AL121" s="23"/>
      <c r="AM121" s="24"/>
    </row>
    <row r="132" spans="4:4" x14ac:dyDescent="0.2">
      <c r="D132" t="s">
        <v>20</v>
      </c>
    </row>
    <row r="133" spans="4:4" x14ac:dyDescent="0.2">
      <c r="D133" t="s">
        <v>21</v>
      </c>
    </row>
    <row r="134" spans="4:4" x14ac:dyDescent="0.2">
      <c r="D134" t="s">
        <v>22</v>
      </c>
    </row>
    <row r="135" spans="4:4" x14ac:dyDescent="0.2">
      <c r="D135" t="s">
        <v>23</v>
      </c>
    </row>
    <row r="136" spans="4:4" x14ac:dyDescent="0.2">
      <c r="D136" t="s">
        <v>24</v>
      </c>
    </row>
    <row r="137" spans="4:4" x14ac:dyDescent="0.2">
      <c r="D137" t="s">
        <v>25</v>
      </c>
    </row>
    <row r="138" spans="4:4" x14ac:dyDescent="0.2">
      <c r="D138" t="s">
        <v>26</v>
      </c>
    </row>
    <row r="139" spans="4:4" x14ac:dyDescent="0.2">
      <c r="D139" t="s">
        <v>27</v>
      </c>
    </row>
    <row r="140" spans="4:4" x14ac:dyDescent="0.2">
      <c r="D140" s="86" t="s">
        <v>28</v>
      </c>
    </row>
  </sheetData>
  <mergeCells count="70">
    <mergeCell ref="D117:AH117"/>
    <mergeCell ref="D95:AH95"/>
    <mergeCell ref="D83:AE83"/>
    <mergeCell ref="AF83:AH83"/>
    <mergeCell ref="D77:AH77"/>
    <mergeCell ref="D99:AH99"/>
    <mergeCell ref="D105:AH105"/>
    <mergeCell ref="D111:AH111"/>
    <mergeCell ref="D81:AH81"/>
    <mergeCell ref="D87:AH87"/>
    <mergeCell ref="D89:AE89"/>
    <mergeCell ref="D93:AH93"/>
    <mergeCell ref="J78:L78"/>
    <mergeCell ref="M78:N78"/>
    <mergeCell ref="O72:P72"/>
    <mergeCell ref="S72:U72"/>
    <mergeCell ref="V72:W72"/>
    <mergeCell ref="BL64:CP64"/>
    <mergeCell ref="AC65:AG65"/>
    <mergeCell ref="D65:AB65"/>
    <mergeCell ref="H66:I66"/>
    <mergeCell ref="V66:X66"/>
    <mergeCell ref="Y66:Z66"/>
    <mergeCell ref="D69:AH69"/>
    <mergeCell ref="D71:AF71"/>
    <mergeCell ref="D57:AH57"/>
    <mergeCell ref="Q60:S60"/>
    <mergeCell ref="T60:U60"/>
    <mergeCell ref="V59:AG59"/>
    <mergeCell ref="D59:U59"/>
    <mergeCell ref="D33:AH33"/>
    <mergeCell ref="D35:AH35"/>
    <mergeCell ref="D39:AH39"/>
    <mergeCell ref="D41:H41"/>
    <mergeCell ref="I41:AG41"/>
    <mergeCell ref="B45:C115"/>
    <mergeCell ref="D45:AH45"/>
    <mergeCell ref="D47:AH47"/>
    <mergeCell ref="P48:R48"/>
    <mergeCell ref="S48:T48"/>
    <mergeCell ref="W48:X48"/>
    <mergeCell ref="AG48:AH48"/>
    <mergeCell ref="D51:AH51"/>
    <mergeCell ref="P54:Q54"/>
    <mergeCell ref="T54:V54"/>
    <mergeCell ref="W54:X54"/>
    <mergeCell ref="AA53:AH53"/>
    <mergeCell ref="D53:Z53"/>
    <mergeCell ref="D63:AH63"/>
    <mergeCell ref="AC73:AD73"/>
    <mergeCell ref="D75:AH75"/>
    <mergeCell ref="D29:F29"/>
    <mergeCell ref="G29:AG29"/>
    <mergeCell ref="D15:AH15"/>
    <mergeCell ref="E17:M17"/>
    <mergeCell ref="N17:AE17"/>
    <mergeCell ref="Y18:AE18"/>
    <mergeCell ref="D21:AH21"/>
    <mergeCell ref="D23:AH23"/>
    <mergeCell ref="D24:K24"/>
    <mergeCell ref="L24:W24"/>
    <mergeCell ref="Z24:AB24"/>
    <mergeCell ref="AC24:AE24"/>
    <mergeCell ref="D27:AH27"/>
    <mergeCell ref="P13:R13"/>
    <mergeCell ref="D1:AH1"/>
    <mergeCell ref="D4:AH4"/>
    <mergeCell ref="D8:AH8"/>
    <mergeCell ref="D11:AA11"/>
    <mergeCell ref="AB11:AH11"/>
  </mergeCells>
  <pageMargins left="0.7" right="0.7" top="0.75" bottom="0.75" header="0.3" footer="0.3"/>
  <pageSetup scale="1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F526-39AB-754F-9EDC-AFA6E15B26E6}">
  <sheetPr>
    <pageSetUpPr fitToPage="1"/>
  </sheetPr>
  <dimension ref="A1:CP140"/>
  <sheetViews>
    <sheetView topLeftCell="A49" zoomScale="80" zoomScaleNormal="80" workbookViewId="0">
      <selection activeCell="F61" sqref="F61"/>
    </sheetView>
  </sheetViews>
  <sheetFormatPr defaultRowHeight="15" x14ac:dyDescent="0.2"/>
  <cols>
    <col min="20" max="20" width="10.625" customWidth="1"/>
    <col min="35" max="35" width="15.19921875" style="146" customWidth="1"/>
    <col min="36" max="36" width="15.46875" style="146" customWidth="1"/>
    <col min="37" max="37" width="13.5859375" style="50" bestFit="1" customWidth="1"/>
    <col min="38" max="38" width="8.609375" style="146"/>
    <col min="39" max="39" width="8.609375" style="25"/>
  </cols>
  <sheetData>
    <row r="1" spans="4:39" x14ac:dyDescent="0.2">
      <c r="D1" s="194">
        <v>45992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6"/>
      <c r="AK1" s="47">
        <v>68</v>
      </c>
      <c r="AL1" s="23"/>
      <c r="AM1" s="24"/>
    </row>
    <row r="2" spans="4:39" x14ac:dyDescent="0.2">
      <c r="D2" s="111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3"/>
      <c r="AK2" s="47"/>
      <c r="AL2" s="23"/>
      <c r="AM2" s="24"/>
    </row>
    <row r="3" spans="4:39" x14ac:dyDescent="0.2">
      <c r="D3" s="30">
        <v>1</v>
      </c>
      <c r="E3" s="31">
        <v>2</v>
      </c>
      <c r="F3" s="31">
        <v>3</v>
      </c>
      <c r="G3" s="31">
        <v>4</v>
      </c>
      <c r="H3" s="31">
        <v>5</v>
      </c>
      <c r="I3" s="10">
        <v>6</v>
      </c>
      <c r="J3" s="10">
        <v>7</v>
      </c>
      <c r="K3" s="31">
        <v>8</v>
      </c>
      <c r="L3" s="31">
        <v>9</v>
      </c>
      <c r="M3" s="31">
        <v>10</v>
      </c>
      <c r="N3" s="31">
        <v>11</v>
      </c>
      <c r="O3" s="31">
        <v>12</v>
      </c>
      <c r="P3" s="10">
        <v>13</v>
      </c>
      <c r="Q3" s="10">
        <v>14</v>
      </c>
      <c r="R3" s="31">
        <v>15</v>
      </c>
      <c r="S3" s="31">
        <v>16</v>
      </c>
      <c r="T3" s="31">
        <v>17</v>
      </c>
      <c r="U3" s="31">
        <v>18</v>
      </c>
      <c r="V3" s="31">
        <v>19</v>
      </c>
      <c r="W3" s="10">
        <v>20</v>
      </c>
      <c r="X3" s="10">
        <v>21</v>
      </c>
      <c r="Y3" s="31">
        <v>22</v>
      </c>
      <c r="Z3" s="31">
        <v>23</v>
      </c>
      <c r="AA3" s="31">
        <v>24</v>
      </c>
      <c r="AB3" s="31">
        <v>25</v>
      </c>
      <c r="AC3" s="31">
        <v>26</v>
      </c>
      <c r="AD3" s="10">
        <v>27</v>
      </c>
      <c r="AE3" s="10">
        <v>28</v>
      </c>
      <c r="AF3" s="31">
        <v>29</v>
      </c>
      <c r="AG3" s="31">
        <v>30</v>
      </c>
      <c r="AH3" s="34">
        <v>31</v>
      </c>
      <c r="AK3" s="47"/>
      <c r="AL3" s="23"/>
      <c r="AM3" s="24"/>
    </row>
    <row r="4" spans="4:39" x14ac:dyDescent="0.2">
      <c r="D4" s="223" t="s">
        <v>5</v>
      </c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5"/>
      <c r="AK4" s="47"/>
      <c r="AL4" s="23"/>
      <c r="AM4" s="24"/>
    </row>
    <row r="5" spans="4:39" ht="15.75" thickBot="1" x14ac:dyDescent="0.25">
      <c r="D5" s="30"/>
      <c r="E5" s="31"/>
      <c r="F5" s="31"/>
      <c r="G5" s="31"/>
      <c r="H5" s="31"/>
      <c r="I5" s="10"/>
      <c r="J5" s="10"/>
      <c r="K5" s="31"/>
      <c r="L5" s="31"/>
      <c r="M5" s="31"/>
      <c r="N5" s="31"/>
      <c r="O5" s="31"/>
      <c r="P5" s="10"/>
      <c r="Q5" s="10"/>
      <c r="R5" s="31"/>
      <c r="S5" s="31"/>
      <c r="T5" s="31"/>
      <c r="U5" s="31"/>
      <c r="V5" s="31"/>
      <c r="W5" s="10"/>
      <c r="X5" s="10"/>
      <c r="Y5" s="31"/>
      <c r="Z5" s="31"/>
      <c r="AA5" s="31"/>
      <c r="AB5" s="31"/>
      <c r="AC5" s="31"/>
      <c r="AD5" s="10"/>
      <c r="AE5" s="10"/>
      <c r="AF5" s="31"/>
      <c r="AG5" s="31"/>
      <c r="AH5" s="34"/>
      <c r="AK5" s="47"/>
      <c r="AL5" s="23"/>
      <c r="AM5" s="24"/>
    </row>
    <row r="6" spans="4:39" ht="15.75" thickBot="1" x14ac:dyDescent="0.25">
      <c r="D6" s="32"/>
      <c r="E6" s="33"/>
      <c r="F6" s="33"/>
      <c r="G6" s="33"/>
      <c r="H6" s="33"/>
      <c r="I6" s="11"/>
      <c r="J6" s="11"/>
      <c r="K6" s="33"/>
      <c r="L6" s="33"/>
      <c r="M6" s="33"/>
      <c r="N6" s="33"/>
      <c r="O6" s="33"/>
      <c r="P6" s="11"/>
      <c r="Q6" s="11"/>
      <c r="R6" s="33"/>
      <c r="S6" s="33"/>
      <c r="T6" s="33"/>
      <c r="U6" s="33"/>
      <c r="V6" s="33"/>
      <c r="W6" s="11"/>
      <c r="X6" s="11"/>
      <c r="Y6" s="33"/>
      <c r="Z6" s="33"/>
      <c r="AA6" s="33"/>
      <c r="AB6" s="33"/>
      <c r="AC6" s="33"/>
      <c r="AD6" s="11"/>
      <c r="AE6" s="11"/>
      <c r="AF6" s="33"/>
      <c r="AG6" s="33"/>
      <c r="AH6" s="35"/>
      <c r="AK6" s="47"/>
      <c r="AL6" s="23"/>
      <c r="AM6" s="29">
        <v>0</v>
      </c>
    </row>
    <row r="7" spans="4:39" ht="15.75" thickBot="1" x14ac:dyDescent="0.25">
      <c r="AK7" s="47"/>
      <c r="AL7" s="23"/>
      <c r="AM7" s="24"/>
    </row>
    <row r="8" spans="4:39" x14ac:dyDescent="0.2">
      <c r="D8" s="194">
        <v>46023</v>
      </c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6"/>
      <c r="AK8" s="47">
        <f>SUM(AK1+2.5-AM6)</f>
        <v>70.5</v>
      </c>
      <c r="AL8" s="23"/>
      <c r="AM8" s="24"/>
    </row>
    <row r="9" spans="4:39" x14ac:dyDescent="0.2">
      <c r="D9" s="111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3"/>
      <c r="AK9" s="47"/>
      <c r="AL9" s="23"/>
      <c r="AM9" s="24"/>
    </row>
    <row r="10" spans="4:39" x14ac:dyDescent="0.2">
      <c r="D10" s="30">
        <v>1</v>
      </c>
      <c r="E10" s="31">
        <v>2</v>
      </c>
      <c r="F10" s="38">
        <v>3</v>
      </c>
      <c r="G10" s="38">
        <v>4</v>
      </c>
      <c r="H10" s="31">
        <v>5</v>
      </c>
      <c r="I10" s="31">
        <v>6</v>
      </c>
      <c r="J10" s="31">
        <v>7</v>
      </c>
      <c r="K10" s="31">
        <v>8</v>
      </c>
      <c r="L10" s="31">
        <v>9</v>
      </c>
      <c r="M10" s="38">
        <v>10</v>
      </c>
      <c r="N10" s="38">
        <v>11</v>
      </c>
      <c r="O10" s="31">
        <v>12</v>
      </c>
      <c r="P10" s="31">
        <v>13</v>
      </c>
      <c r="Q10" s="31">
        <v>14</v>
      </c>
      <c r="R10" s="31">
        <v>15</v>
      </c>
      <c r="S10" s="31">
        <v>16</v>
      </c>
      <c r="T10" s="38">
        <v>17</v>
      </c>
      <c r="U10" s="38">
        <v>18</v>
      </c>
      <c r="V10" s="31">
        <v>19</v>
      </c>
      <c r="W10" s="31">
        <v>20</v>
      </c>
      <c r="X10" s="31">
        <v>21</v>
      </c>
      <c r="Y10" s="31">
        <v>22</v>
      </c>
      <c r="Z10" s="31">
        <v>23</v>
      </c>
      <c r="AA10" s="38">
        <v>24</v>
      </c>
      <c r="AB10" s="38">
        <v>25</v>
      </c>
      <c r="AC10" s="31">
        <v>26</v>
      </c>
      <c r="AD10" s="31">
        <v>27</v>
      </c>
      <c r="AE10" s="31">
        <v>28</v>
      </c>
      <c r="AF10" s="31">
        <v>29</v>
      </c>
      <c r="AG10" s="31">
        <v>30</v>
      </c>
      <c r="AH10" s="40">
        <v>31</v>
      </c>
      <c r="AK10" s="47"/>
      <c r="AL10" s="23"/>
      <c r="AM10" s="24"/>
    </row>
    <row r="11" spans="4:39" x14ac:dyDescent="0.2">
      <c r="D11" s="223" t="s">
        <v>5</v>
      </c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6"/>
      <c r="AB11" s="227" t="s">
        <v>37</v>
      </c>
      <c r="AC11" s="228"/>
      <c r="AD11" s="228"/>
      <c r="AE11" s="228"/>
      <c r="AF11" s="228"/>
      <c r="AG11" s="228"/>
      <c r="AH11" s="229"/>
      <c r="AK11" s="47"/>
      <c r="AL11" s="23"/>
      <c r="AM11" s="24"/>
    </row>
    <row r="12" spans="4:39" ht="15.75" thickBot="1" x14ac:dyDescent="0.25">
      <c r="D12" s="30"/>
      <c r="E12" s="31"/>
      <c r="F12" s="38"/>
      <c r="G12" s="38"/>
      <c r="H12" s="31"/>
      <c r="I12" s="31"/>
      <c r="J12" s="31"/>
      <c r="K12" s="31"/>
      <c r="L12" s="31"/>
      <c r="M12" s="38"/>
      <c r="N12" s="38"/>
      <c r="O12" s="31"/>
      <c r="P12" s="31"/>
      <c r="Q12" s="31"/>
      <c r="R12" s="31"/>
      <c r="S12" s="31"/>
      <c r="T12" s="38"/>
      <c r="U12" s="38"/>
      <c r="V12" s="31"/>
      <c r="W12" s="31"/>
      <c r="X12" s="31"/>
      <c r="Y12" s="31"/>
      <c r="Z12" s="33"/>
      <c r="AA12" s="39"/>
      <c r="AB12" s="39"/>
      <c r="AC12" s="33"/>
      <c r="AD12" s="33"/>
      <c r="AE12" s="33"/>
      <c r="AF12" s="33"/>
      <c r="AG12" s="33"/>
      <c r="AH12" s="41"/>
      <c r="AK12" s="47"/>
      <c r="AL12" s="23"/>
      <c r="AM12" s="24"/>
    </row>
    <row r="13" spans="4:39" ht="15.75" thickBot="1" x14ac:dyDescent="0.25">
      <c r="D13" s="32"/>
      <c r="E13" s="33"/>
      <c r="F13" s="39"/>
      <c r="G13" s="39"/>
      <c r="H13" s="33"/>
      <c r="I13" s="33"/>
      <c r="J13" s="33"/>
      <c r="K13" s="33"/>
      <c r="L13" s="33"/>
      <c r="M13" s="39"/>
      <c r="N13" s="39"/>
      <c r="O13" s="45"/>
      <c r="P13" s="221" t="s">
        <v>8</v>
      </c>
      <c r="Q13" s="222"/>
      <c r="R13" s="222"/>
      <c r="S13" s="46"/>
      <c r="T13" s="39"/>
      <c r="U13" s="39"/>
      <c r="V13" s="33"/>
      <c r="W13" s="33"/>
      <c r="X13" s="33"/>
      <c r="Y13" s="33"/>
      <c r="Z13" s="33"/>
      <c r="AA13" s="39"/>
      <c r="AB13" s="39"/>
      <c r="AC13" s="33"/>
      <c r="AD13" s="33"/>
      <c r="AE13" s="33"/>
      <c r="AF13" s="33"/>
      <c r="AG13" s="33"/>
      <c r="AH13" s="41"/>
      <c r="AK13" s="47"/>
      <c r="AL13" s="23"/>
      <c r="AM13" s="29">
        <v>7</v>
      </c>
    </row>
    <row r="14" spans="4:39" ht="15.75" thickBot="1" x14ac:dyDescent="0.25">
      <c r="AK14" s="47"/>
      <c r="AL14" s="23"/>
      <c r="AM14" s="24"/>
    </row>
    <row r="15" spans="4:39" x14ac:dyDescent="0.2">
      <c r="D15" s="194">
        <v>46054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6"/>
      <c r="AK15" s="47">
        <f>SUM(AK8+2.5-AM13)</f>
        <v>66</v>
      </c>
      <c r="AL15" s="23"/>
      <c r="AM15" s="24"/>
    </row>
    <row r="16" spans="4:39" x14ac:dyDescent="0.2">
      <c r="D16" s="42">
        <v>1</v>
      </c>
      <c r="E16" s="1">
        <v>2</v>
      </c>
      <c r="F16" s="1">
        <v>3</v>
      </c>
      <c r="G16" s="1">
        <v>4</v>
      </c>
      <c r="H16" s="31">
        <v>5</v>
      </c>
      <c r="I16" s="31">
        <v>6</v>
      </c>
      <c r="J16" s="38">
        <v>7</v>
      </c>
      <c r="K16" s="38">
        <v>8</v>
      </c>
      <c r="L16" s="31">
        <v>9</v>
      </c>
      <c r="M16" s="31">
        <v>10</v>
      </c>
      <c r="N16" s="31">
        <v>11</v>
      </c>
      <c r="O16" s="31">
        <v>12</v>
      </c>
      <c r="P16" s="31">
        <v>13</v>
      </c>
      <c r="Q16" s="38">
        <v>14</v>
      </c>
      <c r="R16" s="38">
        <v>15</v>
      </c>
      <c r="S16" s="31">
        <v>16</v>
      </c>
      <c r="T16" s="31">
        <v>17</v>
      </c>
      <c r="U16" s="31">
        <v>18</v>
      </c>
      <c r="V16" s="31">
        <v>19</v>
      </c>
      <c r="W16" s="31">
        <v>20</v>
      </c>
      <c r="X16" s="38">
        <v>21</v>
      </c>
      <c r="Y16" s="38">
        <v>22</v>
      </c>
      <c r="Z16" s="31">
        <v>23</v>
      </c>
      <c r="AA16" s="31">
        <v>24</v>
      </c>
      <c r="AB16" s="31">
        <v>25</v>
      </c>
      <c r="AC16" s="31">
        <v>26</v>
      </c>
      <c r="AD16" s="31">
        <v>27</v>
      </c>
      <c r="AE16" s="38">
        <v>28</v>
      </c>
      <c r="AF16" s="38">
        <v>29</v>
      </c>
      <c r="AG16" s="1"/>
      <c r="AH16" s="5"/>
      <c r="AK16" s="47"/>
      <c r="AL16" s="23"/>
      <c r="AM16" s="24"/>
    </row>
    <row r="17" spans="4:41" x14ac:dyDescent="0.2">
      <c r="D17" s="18"/>
      <c r="E17" s="233" t="s">
        <v>5</v>
      </c>
      <c r="F17" s="224"/>
      <c r="G17" s="224"/>
      <c r="H17" s="224"/>
      <c r="I17" s="224"/>
      <c r="J17" s="224"/>
      <c r="K17" s="224"/>
      <c r="L17" s="224"/>
      <c r="M17" s="226"/>
      <c r="N17" s="234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6"/>
      <c r="AF17" s="38"/>
      <c r="AG17" s="1"/>
      <c r="AH17" s="5"/>
      <c r="AK17" s="47"/>
      <c r="AL17" s="23"/>
      <c r="AM17" s="24"/>
    </row>
    <row r="18" spans="4:41" ht="15.75" thickBot="1" x14ac:dyDescent="0.25">
      <c r="D18" s="18" t="s">
        <v>4</v>
      </c>
      <c r="E18" s="1"/>
      <c r="F18" s="1"/>
      <c r="G18" s="1"/>
      <c r="H18" s="31"/>
      <c r="I18" s="31"/>
      <c r="J18" s="38"/>
      <c r="K18" s="38"/>
      <c r="L18" s="31"/>
      <c r="M18" s="31"/>
      <c r="N18" s="31"/>
      <c r="O18" s="31"/>
      <c r="P18" s="31"/>
      <c r="Q18" s="38"/>
      <c r="R18" s="38"/>
      <c r="S18" s="31"/>
      <c r="T18" s="31"/>
      <c r="U18" s="31"/>
      <c r="V18" s="31"/>
      <c r="W18" s="31"/>
      <c r="X18" s="38"/>
      <c r="Y18" s="237" t="s">
        <v>7</v>
      </c>
      <c r="Z18" s="238"/>
      <c r="AA18" s="238"/>
      <c r="AB18" s="238"/>
      <c r="AC18" s="238"/>
      <c r="AD18" s="238"/>
      <c r="AE18" s="238"/>
      <c r="AF18" s="110"/>
      <c r="AG18" s="1"/>
      <c r="AH18" s="5"/>
      <c r="AK18" s="47"/>
      <c r="AL18" s="23"/>
      <c r="AM18" s="24"/>
    </row>
    <row r="19" spans="4:41" ht="15.75" thickBot="1" x14ac:dyDescent="0.25">
      <c r="D19" s="19"/>
      <c r="E19" s="7"/>
      <c r="F19" s="7"/>
      <c r="G19" s="7"/>
      <c r="H19" s="33"/>
      <c r="I19" s="33"/>
      <c r="J19" s="39"/>
      <c r="K19" s="39"/>
      <c r="L19" s="22" t="s">
        <v>9</v>
      </c>
      <c r="M19" s="33"/>
      <c r="N19" s="33"/>
      <c r="O19" s="33"/>
      <c r="P19" s="33"/>
      <c r="Q19" s="39"/>
      <c r="R19" s="39"/>
      <c r="S19" s="33"/>
      <c r="T19" s="33"/>
      <c r="U19" s="33"/>
      <c r="V19" s="33"/>
      <c r="W19" s="33"/>
      <c r="X19" s="39"/>
      <c r="Y19" s="39"/>
      <c r="Z19" s="33"/>
      <c r="AA19" s="33"/>
      <c r="AB19" s="33"/>
      <c r="AC19" s="33"/>
      <c r="AD19" s="33"/>
      <c r="AE19" s="39"/>
      <c r="AF19" s="39"/>
      <c r="AG19" s="7"/>
      <c r="AH19" s="8"/>
      <c r="AK19" s="47"/>
      <c r="AL19" s="23"/>
      <c r="AM19" s="29">
        <v>1</v>
      </c>
    </row>
    <row r="20" spans="4:41" ht="15.75" thickBot="1" x14ac:dyDescent="0.25">
      <c r="AK20" s="47"/>
      <c r="AL20" s="23"/>
      <c r="AM20" s="28"/>
    </row>
    <row r="21" spans="4:41" x14ac:dyDescent="0.2">
      <c r="D21" s="194">
        <v>46082</v>
      </c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6"/>
      <c r="AJ21" s="146" t="s">
        <v>0</v>
      </c>
      <c r="AK21" s="47">
        <f>SUM(AK15+2.5-AM19)</f>
        <v>67.5</v>
      </c>
      <c r="AL21" s="23"/>
      <c r="AM21" s="24"/>
    </row>
    <row r="22" spans="4:41" x14ac:dyDescent="0.2">
      <c r="D22" s="42">
        <v>1</v>
      </c>
      <c r="E22" s="1">
        <v>2</v>
      </c>
      <c r="F22" s="31">
        <v>3</v>
      </c>
      <c r="G22" s="31">
        <v>4</v>
      </c>
      <c r="H22" s="31">
        <v>5</v>
      </c>
      <c r="I22" s="31">
        <v>6</v>
      </c>
      <c r="J22" s="38">
        <v>7</v>
      </c>
      <c r="K22" s="38">
        <v>8</v>
      </c>
      <c r="L22" s="31">
        <v>9</v>
      </c>
      <c r="M22" s="31">
        <v>10</v>
      </c>
      <c r="N22" s="31">
        <v>11</v>
      </c>
      <c r="O22" s="31">
        <v>12</v>
      </c>
      <c r="P22" s="31">
        <v>13</v>
      </c>
      <c r="Q22" s="38">
        <v>14</v>
      </c>
      <c r="R22" s="38">
        <v>15</v>
      </c>
      <c r="S22" s="31">
        <v>16</v>
      </c>
      <c r="T22" s="31">
        <v>17</v>
      </c>
      <c r="U22" s="31">
        <v>18</v>
      </c>
      <c r="V22" s="31">
        <v>19</v>
      </c>
      <c r="W22" s="31">
        <v>20</v>
      </c>
      <c r="X22" s="38">
        <v>21</v>
      </c>
      <c r="Y22" s="38">
        <v>22</v>
      </c>
      <c r="Z22" s="31">
        <v>23</v>
      </c>
      <c r="AA22" s="31">
        <v>24</v>
      </c>
      <c r="AB22" s="31">
        <v>25</v>
      </c>
      <c r="AC22" s="31">
        <v>26</v>
      </c>
      <c r="AD22" s="31">
        <v>27</v>
      </c>
      <c r="AE22" s="38">
        <v>28</v>
      </c>
      <c r="AF22" s="38">
        <v>29</v>
      </c>
      <c r="AG22" s="31">
        <v>30</v>
      </c>
      <c r="AH22" s="34">
        <v>31</v>
      </c>
      <c r="AK22" s="47"/>
      <c r="AL22" s="23"/>
      <c r="AM22" s="24"/>
    </row>
    <row r="23" spans="4:41" x14ac:dyDescent="0.2">
      <c r="D23" s="223" t="s">
        <v>5</v>
      </c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5"/>
      <c r="AK23" s="47"/>
      <c r="AL23" s="23"/>
      <c r="AM23" s="24"/>
    </row>
    <row r="24" spans="4:41" ht="15.75" thickBot="1" x14ac:dyDescent="0.25">
      <c r="D24" s="237" t="s">
        <v>6</v>
      </c>
      <c r="E24" s="239"/>
      <c r="F24" s="239"/>
      <c r="G24" s="239"/>
      <c r="H24" s="239"/>
      <c r="I24" s="239"/>
      <c r="J24" s="239"/>
      <c r="K24" s="240"/>
      <c r="L24" s="241" t="s">
        <v>10</v>
      </c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3"/>
      <c r="X24" s="38"/>
      <c r="Y24" s="38"/>
      <c r="Z24" s="237" t="s">
        <v>13</v>
      </c>
      <c r="AA24" s="239"/>
      <c r="AB24" s="239"/>
      <c r="AC24" s="237" t="s">
        <v>14</v>
      </c>
      <c r="AD24" s="239"/>
      <c r="AE24" s="239"/>
      <c r="AF24" s="39"/>
      <c r="AG24" s="31"/>
      <c r="AH24" s="34"/>
      <c r="AK24" s="47"/>
      <c r="AL24" s="23"/>
      <c r="AM24" s="24"/>
    </row>
    <row r="25" spans="4:41" ht="15.75" thickBot="1" x14ac:dyDescent="0.25">
      <c r="D25" s="43"/>
      <c r="E25" s="7"/>
      <c r="F25" s="33"/>
      <c r="G25" s="33"/>
      <c r="H25" s="33"/>
      <c r="I25" s="33"/>
      <c r="J25" s="39"/>
      <c r="K25" s="39"/>
      <c r="L25" s="33"/>
      <c r="M25" s="33"/>
      <c r="N25" s="33"/>
      <c r="O25" s="33"/>
      <c r="P25" s="33"/>
      <c r="Q25" s="39"/>
      <c r="R25" s="39"/>
      <c r="S25" s="33"/>
      <c r="T25" s="33"/>
      <c r="U25" s="33"/>
      <c r="V25" s="33"/>
      <c r="W25" s="33"/>
      <c r="X25" s="39"/>
      <c r="Y25" s="39"/>
      <c r="Z25" s="33"/>
      <c r="AA25" s="33"/>
      <c r="AB25" s="33"/>
      <c r="AC25" s="33"/>
      <c r="AD25" s="33"/>
      <c r="AE25" s="39"/>
      <c r="AF25" s="39"/>
      <c r="AG25" s="33"/>
      <c r="AH25" s="35"/>
      <c r="AK25" s="47"/>
      <c r="AL25" s="23"/>
      <c r="AM25" s="29">
        <v>0</v>
      </c>
    </row>
    <row r="26" spans="4:41" ht="30" thickBot="1" x14ac:dyDescent="0.4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K26" s="47"/>
      <c r="AL26" s="23"/>
      <c r="AM26" s="28"/>
      <c r="AO26" s="126" t="s">
        <v>42</v>
      </c>
    </row>
    <row r="27" spans="4:41" ht="30" thickBot="1" x14ac:dyDescent="0.45">
      <c r="D27" s="190">
        <v>46113</v>
      </c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2"/>
      <c r="AG27" s="192"/>
      <c r="AH27" s="193"/>
      <c r="AJ27" s="146" t="s">
        <v>50</v>
      </c>
      <c r="AK27" s="47">
        <v>69</v>
      </c>
      <c r="AL27" s="23"/>
      <c r="AM27" s="24"/>
      <c r="AO27" s="126">
        <v>23</v>
      </c>
    </row>
    <row r="28" spans="4:41" ht="29.25" x14ac:dyDescent="0.4">
      <c r="D28" s="36">
        <v>1</v>
      </c>
      <c r="E28" s="37">
        <v>2</v>
      </c>
      <c r="F28" s="37">
        <v>3</v>
      </c>
      <c r="G28" s="44">
        <v>4</v>
      </c>
      <c r="H28" s="44">
        <v>5</v>
      </c>
      <c r="I28" s="37">
        <v>6</v>
      </c>
      <c r="J28" s="37">
        <v>7</v>
      </c>
      <c r="K28" s="37">
        <v>8</v>
      </c>
      <c r="L28" s="37">
        <v>9</v>
      </c>
      <c r="M28" s="37">
        <v>10</v>
      </c>
      <c r="N28" s="44">
        <v>11</v>
      </c>
      <c r="O28" s="44">
        <v>12</v>
      </c>
      <c r="P28" s="37">
        <v>13</v>
      </c>
      <c r="Q28" s="37">
        <v>14</v>
      </c>
      <c r="R28" s="37">
        <v>15</v>
      </c>
      <c r="S28" s="37">
        <v>16</v>
      </c>
      <c r="T28" s="37">
        <v>17</v>
      </c>
      <c r="U28" s="44">
        <v>18</v>
      </c>
      <c r="V28" s="44">
        <v>19</v>
      </c>
      <c r="W28" s="37">
        <v>20</v>
      </c>
      <c r="X28" s="37">
        <v>21</v>
      </c>
      <c r="Y28" s="37">
        <v>22</v>
      </c>
      <c r="Z28" s="37">
        <v>23</v>
      </c>
      <c r="AA28" s="37">
        <v>24</v>
      </c>
      <c r="AB28" s="44">
        <v>25</v>
      </c>
      <c r="AC28" s="44">
        <v>26</v>
      </c>
      <c r="AD28" s="37">
        <v>27</v>
      </c>
      <c r="AE28" s="37">
        <v>28</v>
      </c>
      <c r="AF28" s="37">
        <v>29</v>
      </c>
      <c r="AG28" s="2">
        <v>30</v>
      </c>
      <c r="AH28" s="3"/>
      <c r="AK28" s="47"/>
      <c r="AL28" s="23"/>
      <c r="AM28" s="24"/>
      <c r="AO28" s="126"/>
    </row>
    <row r="29" spans="4:41" ht="29.25" x14ac:dyDescent="0.4">
      <c r="D29" s="230" t="s">
        <v>19</v>
      </c>
      <c r="E29" s="231"/>
      <c r="F29" s="232"/>
      <c r="G29" s="223" t="s">
        <v>5</v>
      </c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6"/>
      <c r="AH29" s="71"/>
      <c r="AK29" s="47"/>
      <c r="AL29" s="23"/>
      <c r="AM29" s="24"/>
      <c r="AO29" s="126"/>
    </row>
    <row r="30" spans="4:41" ht="30" thickBot="1" x14ac:dyDescent="0.45">
      <c r="D30" s="30"/>
      <c r="E30" s="31"/>
      <c r="F30" s="31"/>
      <c r="G30" s="38"/>
      <c r="H30" s="38"/>
      <c r="I30" s="31"/>
      <c r="J30" s="31"/>
      <c r="K30" s="31"/>
      <c r="L30" s="31"/>
      <c r="M30" s="31"/>
      <c r="N30" s="38"/>
      <c r="O30" s="38"/>
      <c r="P30" s="31"/>
      <c r="Q30" s="31"/>
      <c r="R30" s="31"/>
      <c r="S30" s="31"/>
      <c r="T30" s="31"/>
      <c r="U30" s="38"/>
      <c r="V30" s="38"/>
      <c r="W30" s="33"/>
      <c r="X30" s="33"/>
      <c r="Y30" s="33"/>
      <c r="Z30" s="33"/>
      <c r="AA30" s="33"/>
      <c r="AB30" s="39"/>
      <c r="AC30" s="39"/>
      <c r="AD30" s="33"/>
      <c r="AE30" s="33"/>
      <c r="AF30" s="33"/>
      <c r="AG30" s="7"/>
      <c r="AH30" s="8"/>
      <c r="AK30" s="47"/>
      <c r="AL30" s="23"/>
      <c r="AM30" s="24"/>
      <c r="AO30" s="126"/>
    </row>
    <row r="31" spans="4:41" ht="30" thickBot="1" x14ac:dyDescent="0.45">
      <c r="D31" s="32"/>
      <c r="E31" s="33"/>
      <c r="F31" s="33"/>
      <c r="G31" s="39"/>
      <c r="H31" s="39"/>
      <c r="I31" s="33"/>
      <c r="J31" s="33"/>
      <c r="K31" s="33"/>
      <c r="L31" s="33"/>
      <c r="M31" s="33"/>
      <c r="N31" s="39"/>
      <c r="O31" s="39"/>
      <c r="P31" s="33"/>
      <c r="Q31" s="33"/>
      <c r="R31" s="33"/>
      <c r="S31" s="33"/>
      <c r="T31" s="33"/>
      <c r="U31" s="39"/>
      <c r="V31" s="39"/>
      <c r="W31" s="33"/>
      <c r="X31" s="33"/>
      <c r="Y31" s="33"/>
      <c r="Z31" s="33"/>
      <c r="AA31" s="33"/>
      <c r="AB31" s="39"/>
      <c r="AC31" s="39"/>
      <c r="AD31" s="33"/>
      <c r="AE31" s="33"/>
      <c r="AF31" s="33"/>
      <c r="AG31" s="7"/>
      <c r="AH31" s="8"/>
      <c r="AK31" s="47"/>
      <c r="AL31" s="23"/>
      <c r="AM31" s="29">
        <v>3</v>
      </c>
      <c r="AO31" s="126">
        <f>SUM(AO27-AM31)</f>
        <v>20</v>
      </c>
    </row>
    <row r="32" spans="4:41" ht="30" thickBot="1" x14ac:dyDescent="0.45">
      <c r="AK32" s="47"/>
      <c r="AL32" s="23"/>
      <c r="AM32" s="24"/>
      <c r="AO32" s="126"/>
    </row>
    <row r="33" spans="2:41" ht="29.25" x14ac:dyDescent="0.4">
      <c r="D33" s="194">
        <v>46143</v>
      </c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6"/>
      <c r="AJ33" s="146" t="s">
        <v>51</v>
      </c>
      <c r="AK33" s="47">
        <f>SUM(AK27+2.5-AM31)</f>
        <v>68.5</v>
      </c>
      <c r="AL33" s="23"/>
      <c r="AM33" s="24"/>
      <c r="AO33" s="126"/>
    </row>
    <row r="34" spans="2:41" ht="29.25" x14ac:dyDescent="0.4">
      <c r="D34" s="4">
        <v>1</v>
      </c>
      <c r="E34" s="38">
        <v>2</v>
      </c>
      <c r="F34" s="38">
        <v>3</v>
      </c>
      <c r="G34" s="31">
        <v>4</v>
      </c>
      <c r="H34" s="31">
        <v>5</v>
      </c>
      <c r="I34" s="31">
        <v>6</v>
      </c>
      <c r="J34" s="31">
        <v>7</v>
      </c>
      <c r="K34" s="31">
        <v>8</v>
      </c>
      <c r="L34" s="38">
        <v>9</v>
      </c>
      <c r="M34" s="38">
        <v>10</v>
      </c>
      <c r="N34" s="31">
        <v>11</v>
      </c>
      <c r="O34" s="31">
        <v>12</v>
      </c>
      <c r="P34" s="31">
        <v>13</v>
      </c>
      <c r="Q34" s="31">
        <v>14</v>
      </c>
      <c r="R34" s="31">
        <v>15</v>
      </c>
      <c r="S34" s="38">
        <v>16</v>
      </c>
      <c r="T34" s="38">
        <v>17</v>
      </c>
      <c r="U34" s="31">
        <v>18</v>
      </c>
      <c r="V34" s="31">
        <v>19</v>
      </c>
      <c r="W34" s="31">
        <v>20</v>
      </c>
      <c r="X34" s="31">
        <v>21</v>
      </c>
      <c r="Y34" s="31">
        <v>22</v>
      </c>
      <c r="Z34" s="38">
        <v>23</v>
      </c>
      <c r="AA34" s="38">
        <v>24</v>
      </c>
      <c r="AB34" s="31">
        <v>25</v>
      </c>
      <c r="AC34" s="31">
        <v>26</v>
      </c>
      <c r="AD34" s="31">
        <v>27</v>
      </c>
      <c r="AE34" s="31">
        <v>28</v>
      </c>
      <c r="AF34" s="31">
        <v>29</v>
      </c>
      <c r="AG34" s="38">
        <v>30</v>
      </c>
      <c r="AH34" s="40">
        <v>31</v>
      </c>
      <c r="AK34" s="47"/>
      <c r="AL34" s="23"/>
      <c r="AM34" s="24"/>
      <c r="AO34" s="126"/>
    </row>
    <row r="35" spans="2:41" ht="29.25" x14ac:dyDescent="0.4">
      <c r="D35" s="223" t="s">
        <v>5</v>
      </c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5"/>
      <c r="AK35" s="47"/>
      <c r="AL35" s="23"/>
      <c r="AM35" s="24"/>
      <c r="AO35" s="126"/>
    </row>
    <row r="36" spans="2:41" ht="30" thickBot="1" x14ac:dyDescent="0.45">
      <c r="D36" s="4"/>
      <c r="E36" s="38"/>
      <c r="F36" s="38"/>
      <c r="G36" s="31"/>
      <c r="H36" s="31"/>
      <c r="I36" s="31"/>
      <c r="J36" s="31"/>
      <c r="K36" s="31"/>
      <c r="L36" s="38"/>
      <c r="M36" s="38"/>
      <c r="N36" s="31"/>
      <c r="O36" s="31"/>
      <c r="P36" s="31"/>
      <c r="Q36" s="31"/>
      <c r="R36" s="31"/>
      <c r="S36" s="38"/>
      <c r="T36" s="38"/>
      <c r="U36" s="31"/>
      <c r="V36" s="31"/>
      <c r="W36" s="31"/>
      <c r="X36" s="31"/>
      <c r="Y36" s="31"/>
      <c r="Z36" s="38"/>
      <c r="AA36" s="38"/>
      <c r="AB36" s="31"/>
      <c r="AC36" s="31"/>
      <c r="AD36" s="31"/>
      <c r="AE36" s="31"/>
      <c r="AF36" s="31"/>
      <c r="AG36" s="38"/>
      <c r="AH36" s="40"/>
      <c r="AK36" s="47"/>
      <c r="AL36" s="23"/>
      <c r="AM36" s="24"/>
      <c r="AO36" s="126"/>
    </row>
    <row r="37" spans="2:41" ht="30" thickBot="1" x14ac:dyDescent="0.45">
      <c r="D37" s="6"/>
      <c r="E37" s="39"/>
      <c r="F37" s="39"/>
      <c r="G37" s="33"/>
      <c r="H37" s="33"/>
      <c r="I37" s="33"/>
      <c r="J37" s="33"/>
      <c r="K37" s="33"/>
      <c r="L37" s="39"/>
      <c r="M37" s="39"/>
      <c r="N37" s="33"/>
      <c r="O37" s="33"/>
      <c r="P37" s="33"/>
      <c r="Q37" s="33"/>
      <c r="R37" s="33"/>
      <c r="S37" s="39"/>
      <c r="T37" s="39"/>
      <c r="U37" s="33"/>
      <c r="V37" s="33"/>
      <c r="W37" s="33"/>
      <c r="X37" s="33"/>
      <c r="Y37" s="33"/>
      <c r="Z37" s="39"/>
      <c r="AA37" s="39"/>
      <c r="AB37" s="33"/>
      <c r="AC37" s="33"/>
      <c r="AD37" s="33"/>
      <c r="AE37" s="33"/>
      <c r="AF37" s="33"/>
      <c r="AG37" s="39"/>
      <c r="AH37" s="41"/>
      <c r="AK37" s="47"/>
      <c r="AL37" s="23"/>
      <c r="AM37" s="29">
        <v>0</v>
      </c>
      <c r="AO37" s="126">
        <f>SUM(AO31-AM37)</f>
        <v>20</v>
      </c>
    </row>
    <row r="38" spans="2:41" ht="30" thickBot="1" x14ac:dyDescent="0.4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K38" s="47"/>
      <c r="AL38" s="23"/>
      <c r="AM38" s="24"/>
      <c r="AO38" s="126"/>
    </row>
    <row r="39" spans="2:41" ht="30" thickBot="1" x14ac:dyDescent="0.45">
      <c r="D39" s="190">
        <v>46174</v>
      </c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2"/>
      <c r="AG39" s="192"/>
      <c r="AH39" s="193"/>
      <c r="AJ39" s="146" t="s">
        <v>52</v>
      </c>
      <c r="AK39" s="47">
        <f>SUM(AK33+2.5-AM37)</f>
        <v>71</v>
      </c>
      <c r="AL39" s="23"/>
      <c r="AM39" s="24"/>
      <c r="AO39" s="126"/>
    </row>
    <row r="40" spans="2:41" ht="29.25" x14ac:dyDescent="0.4">
      <c r="D40" s="36">
        <v>1</v>
      </c>
      <c r="E40" s="37">
        <v>2</v>
      </c>
      <c r="F40" s="37">
        <v>3</v>
      </c>
      <c r="G40" s="37">
        <v>4</v>
      </c>
      <c r="H40" s="37">
        <v>5</v>
      </c>
      <c r="I40" s="44">
        <v>6</v>
      </c>
      <c r="J40" s="44">
        <v>7</v>
      </c>
      <c r="K40" s="37">
        <v>8</v>
      </c>
      <c r="L40" s="37">
        <v>9</v>
      </c>
      <c r="M40" s="37">
        <v>10</v>
      </c>
      <c r="N40" s="37">
        <v>11</v>
      </c>
      <c r="O40" s="37">
        <v>12</v>
      </c>
      <c r="P40" s="44">
        <v>13</v>
      </c>
      <c r="Q40" s="44">
        <v>14</v>
      </c>
      <c r="R40" s="37">
        <v>15</v>
      </c>
      <c r="S40" s="37">
        <v>16</v>
      </c>
      <c r="T40" s="37">
        <v>17</v>
      </c>
      <c r="U40" s="37">
        <v>18</v>
      </c>
      <c r="V40" s="37">
        <v>19</v>
      </c>
      <c r="W40" s="44">
        <v>20</v>
      </c>
      <c r="X40" s="44">
        <v>21</v>
      </c>
      <c r="Y40" s="37">
        <v>22</v>
      </c>
      <c r="Z40" s="37">
        <v>23</v>
      </c>
      <c r="AA40" s="37">
        <v>24</v>
      </c>
      <c r="AB40" s="37">
        <v>25</v>
      </c>
      <c r="AC40" s="37">
        <v>26</v>
      </c>
      <c r="AD40" s="44">
        <v>27</v>
      </c>
      <c r="AE40" s="44">
        <v>28</v>
      </c>
      <c r="AF40" s="37">
        <v>29</v>
      </c>
      <c r="AG40" s="2">
        <v>30</v>
      </c>
      <c r="AH40" s="3"/>
      <c r="AK40" s="47"/>
      <c r="AL40" s="23"/>
      <c r="AM40" s="24"/>
      <c r="AO40" s="126"/>
    </row>
    <row r="41" spans="2:41" ht="29.25" x14ac:dyDescent="0.4">
      <c r="D41" s="230" t="s">
        <v>34</v>
      </c>
      <c r="E41" s="231"/>
      <c r="F41" s="231"/>
      <c r="G41" s="231"/>
      <c r="H41" s="232"/>
      <c r="I41" s="223" t="s">
        <v>5</v>
      </c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6"/>
      <c r="AH41" s="5"/>
      <c r="AK41" s="47"/>
      <c r="AL41" s="23"/>
      <c r="AM41" s="24"/>
      <c r="AO41" s="126"/>
    </row>
    <row r="42" spans="2:41" ht="30" thickBot="1" x14ac:dyDescent="0.45">
      <c r="D42" s="30"/>
      <c r="E42" s="31"/>
      <c r="F42" s="31"/>
      <c r="G42" s="31"/>
      <c r="H42" s="31"/>
      <c r="I42" s="38"/>
      <c r="J42" s="38"/>
      <c r="K42" s="31"/>
      <c r="L42" s="31"/>
      <c r="M42" s="87" t="str">
        <f>(D140)</f>
        <v>VA Individual Appointments</v>
      </c>
      <c r="N42" s="31"/>
      <c r="O42" s="31"/>
      <c r="P42" s="38"/>
      <c r="Q42" s="38"/>
      <c r="R42" s="31"/>
      <c r="S42" s="31"/>
      <c r="T42" s="31"/>
      <c r="U42" s="31"/>
      <c r="V42" s="31"/>
      <c r="W42" s="38"/>
      <c r="X42" s="38"/>
      <c r="Y42" s="31"/>
      <c r="Z42" s="31"/>
      <c r="AA42" s="31"/>
      <c r="AB42" s="31"/>
      <c r="AC42" s="31"/>
      <c r="AD42" s="38"/>
      <c r="AE42" s="38"/>
      <c r="AF42" s="31"/>
      <c r="AG42" s="1"/>
      <c r="AH42" s="5"/>
      <c r="AK42" s="47"/>
      <c r="AL42" s="23"/>
      <c r="AM42" s="24"/>
      <c r="AO42" s="126"/>
    </row>
    <row r="43" spans="2:41" ht="30" thickBot="1" x14ac:dyDescent="0.45">
      <c r="D43" s="32"/>
      <c r="E43" s="33"/>
      <c r="F43" s="33"/>
      <c r="G43" s="33"/>
      <c r="H43" s="33"/>
      <c r="I43" s="39"/>
      <c r="J43" s="39"/>
      <c r="K43" s="33"/>
      <c r="L43" s="33"/>
      <c r="M43" s="33"/>
      <c r="N43" s="33"/>
      <c r="O43" s="33"/>
      <c r="P43" s="39"/>
      <c r="Q43" s="39"/>
      <c r="R43" s="33"/>
      <c r="S43" s="33"/>
      <c r="T43" s="33"/>
      <c r="U43" s="33"/>
      <c r="V43" s="143" t="s">
        <v>91</v>
      </c>
      <c r="W43" s="149" t="s">
        <v>44</v>
      </c>
      <c r="X43" s="39"/>
      <c r="Y43" s="33"/>
      <c r="Z43" s="33"/>
      <c r="AA43" s="33"/>
      <c r="AB43" s="33"/>
      <c r="AC43" s="33"/>
      <c r="AD43" s="39"/>
      <c r="AE43" s="39"/>
      <c r="AF43" s="33"/>
      <c r="AG43" s="7"/>
      <c r="AH43" s="8"/>
      <c r="AK43" s="47"/>
      <c r="AL43" s="23"/>
      <c r="AM43" s="29">
        <v>5</v>
      </c>
      <c r="AO43" s="126">
        <f>SUM(AO37-AM43)</f>
        <v>15</v>
      </c>
    </row>
    <row r="44" spans="2:41" ht="30" thickBot="1" x14ac:dyDescent="0.45"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6"/>
      <c r="AJ44" s="106"/>
      <c r="AK44" s="107"/>
      <c r="AL44" s="108"/>
      <c r="AM44" s="109"/>
      <c r="AO44" s="126"/>
    </row>
    <row r="45" spans="2:41" ht="29.25" x14ac:dyDescent="0.4">
      <c r="B45" s="244" t="s">
        <v>41</v>
      </c>
      <c r="C45" s="244"/>
      <c r="D45" s="194">
        <v>46204</v>
      </c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6"/>
      <c r="AJ45" s="146" t="s">
        <v>53</v>
      </c>
      <c r="AK45" s="47">
        <f>SUM(AK39+2.5-AM43)</f>
        <v>68.5</v>
      </c>
      <c r="AL45" s="23"/>
      <c r="AM45" s="24"/>
      <c r="AO45" s="126"/>
    </row>
    <row r="46" spans="2:41" ht="29.25" x14ac:dyDescent="0.4">
      <c r="B46" s="244"/>
      <c r="C46" s="244"/>
      <c r="D46" s="4">
        <v>1</v>
      </c>
      <c r="E46" s="1">
        <v>2</v>
      </c>
      <c r="F46" s="1">
        <v>3</v>
      </c>
      <c r="G46" s="10">
        <v>4</v>
      </c>
      <c r="H46" s="10">
        <v>5</v>
      </c>
      <c r="I46" s="1">
        <v>6</v>
      </c>
      <c r="J46" s="1">
        <v>7</v>
      </c>
      <c r="K46" s="1">
        <v>8</v>
      </c>
      <c r="L46" s="1">
        <v>9</v>
      </c>
      <c r="M46" s="1">
        <v>10</v>
      </c>
      <c r="N46" s="10">
        <v>11</v>
      </c>
      <c r="O46" s="10">
        <v>12</v>
      </c>
      <c r="P46" s="1">
        <v>13</v>
      </c>
      <c r="Q46" s="1">
        <v>14</v>
      </c>
      <c r="R46" s="1">
        <v>15</v>
      </c>
      <c r="S46" s="1">
        <v>16</v>
      </c>
      <c r="T46" s="1">
        <v>17</v>
      </c>
      <c r="U46" s="10">
        <v>18</v>
      </c>
      <c r="V46" s="10">
        <v>19</v>
      </c>
      <c r="W46" s="1">
        <v>20</v>
      </c>
      <c r="X46" s="1">
        <v>21</v>
      </c>
      <c r="Y46" s="1">
        <v>22</v>
      </c>
      <c r="Z46" s="1">
        <v>23</v>
      </c>
      <c r="AA46" s="1">
        <v>24</v>
      </c>
      <c r="AB46" s="10">
        <v>25</v>
      </c>
      <c r="AC46" s="10">
        <v>26</v>
      </c>
      <c r="AD46" s="1">
        <v>27</v>
      </c>
      <c r="AE46" s="1">
        <v>28</v>
      </c>
      <c r="AF46" s="1">
        <v>29</v>
      </c>
      <c r="AG46" s="1">
        <v>30</v>
      </c>
      <c r="AH46" s="5">
        <v>31</v>
      </c>
      <c r="AK46" s="47"/>
      <c r="AL46" s="23"/>
      <c r="AM46" s="24"/>
      <c r="AO46" s="126"/>
    </row>
    <row r="47" spans="2:41" ht="29.25" x14ac:dyDescent="0.4">
      <c r="B47" s="244"/>
      <c r="C47" s="244"/>
      <c r="D47" s="223" t="s">
        <v>5</v>
      </c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5"/>
      <c r="AK47" s="47"/>
      <c r="AL47" s="23"/>
      <c r="AM47" s="24"/>
      <c r="AO47" s="126"/>
    </row>
    <row r="48" spans="2:41" ht="30" thickBot="1" x14ac:dyDescent="0.45">
      <c r="B48" s="244"/>
      <c r="C48" s="244"/>
      <c r="D48" s="4"/>
      <c r="E48" s="1"/>
      <c r="F48" s="1"/>
      <c r="G48" s="10"/>
      <c r="H48" s="10"/>
      <c r="I48" s="1"/>
      <c r="J48" s="90" t="str">
        <f>(D133)</f>
        <v>Pre Separation Brief</v>
      </c>
      <c r="K48" s="1"/>
      <c r="L48" s="1"/>
      <c r="M48" s="1"/>
      <c r="N48" s="10"/>
      <c r="O48" s="10"/>
      <c r="P48" s="245" t="str">
        <f>(D134)</f>
        <v>Three-Day Transition Workshop</v>
      </c>
      <c r="Q48" s="246"/>
      <c r="R48" s="247"/>
      <c r="S48" s="248" t="str">
        <f>(D137)</f>
        <v>Employment 2 Day Seminar</v>
      </c>
      <c r="T48" s="249"/>
      <c r="U48" s="10"/>
      <c r="V48" s="10"/>
      <c r="W48" s="250" t="str">
        <f>(D135)</f>
        <v>Entrepreneurship 2-Day Seminar</v>
      </c>
      <c r="X48" s="251"/>
      <c r="Y48" s="1"/>
      <c r="Z48" s="1"/>
      <c r="AA48" s="1"/>
      <c r="AB48" s="10"/>
      <c r="AC48" s="10"/>
      <c r="AD48" s="1"/>
      <c r="AE48" s="90" t="str">
        <f>(D133)</f>
        <v>Pre Separation Brief</v>
      </c>
      <c r="AF48" s="1"/>
      <c r="AG48" s="259" t="str">
        <f>(D136)</f>
        <v>Career &amp; Credential Exploration 2 Day Seminar</v>
      </c>
      <c r="AH48" s="260"/>
      <c r="AK48" s="47"/>
      <c r="AL48" s="23"/>
      <c r="AM48" s="24"/>
      <c r="AO48" s="126"/>
    </row>
    <row r="49" spans="2:94" ht="30" thickBot="1" x14ac:dyDescent="0.45">
      <c r="B49" s="244"/>
      <c r="C49" s="244"/>
      <c r="D49" s="6"/>
      <c r="E49" s="7"/>
      <c r="F49" s="22" t="s">
        <v>3</v>
      </c>
      <c r="G49" s="11"/>
      <c r="H49" s="11"/>
      <c r="I49" s="7"/>
      <c r="J49" s="7"/>
      <c r="K49" s="7"/>
      <c r="L49" s="7"/>
      <c r="M49" s="7"/>
      <c r="N49" s="11"/>
      <c r="O49" s="11"/>
      <c r="P49" s="7"/>
      <c r="Q49" s="7"/>
      <c r="R49" s="87" t="str">
        <f>(D140)</f>
        <v>VA Individual Appointments</v>
      </c>
      <c r="S49" s="76"/>
      <c r="T49" s="77"/>
      <c r="U49" s="11"/>
      <c r="V49" s="11"/>
      <c r="W49" s="7"/>
      <c r="X49" s="7"/>
      <c r="Y49" s="7"/>
      <c r="Z49" s="7"/>
      <c r="AA49" s="7"/>
      <c r="AB49" s="11"/>
      <c r="AC49" s="11"/>
      <c r="AD49" s="66" t="s">
        <v>16</v>
      </c>
      <c r="AE49" s="7"/>
      <c r="AF49" s="7"/>
      <c r="AG49" s="7"/>
      <c r="AH49" s="66" t="s">
        <v>15</v>
      </c>
      <c r="AK49" s="47"/>
      <c r="AL49" s="23"/>
      <c r="AM49" s="29">
        <v>0</v>
      </c>
      <c r="AO49" s="126">
        <f>SUM(AO43-AM49)</f>
        <v>15</v>
      </c>
    </row>
    <row r="50" spans="2:94" ht="30" thickBot="1" x14ac:dyDescent="0.45">
      <c r="B50" s="244"/>
      <c r="C50" s="244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7"/>
      <c r="AO50" s="126"/>
    </row>
    <row r="51" spans="2:94" ht="29.25" x14ac:dyDescent="0.4">
      <c r="B51" s="244"/>
      <c r="C51" s="244"/>
      <c r="D51" s="194">
        <v>46235</v>
      </c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6"/>
      <c r="AJ51" s="146" t="s">
        <v>54</v>
      </c>
      <c r="AK51" s="47">
        <f>SUM(AK45+2.5-AM49)</f>
        <v>71</v>
      </c>
      <c r="AL51" s="23"/>
      <c r="AM51" s="24"/>
      <c r="AO51" s="126"/>
    </row>
    <row r="52" spans="2:94" ht="29.25" x14ac:dyDescent="0.4">
      <c r="B52" s="244"/>
      <c r="C52" s="244"/>
      <c r="D52" s="12">
        <v>1</v>
      </c>
      <c r="E52" s="10">
        <v>2</v>
      </c>
      <c r="F52" s="1">
        <v>3</v>
      </c>
      <c r="G52" s="1">
        <v>4</v>
      </c>
      <c r="H52" s="1">
        <v>5</v>
      </c>
      <c r="I52" s="1">
        <v>6</v>
      </c>
      <c r="J52" s="1">
        <v>7</v>
      </c>
      <c r="K52" s="10">
        <v>8</v>
      </c>
      <c r="L52" s="10">
        <v>9</v>
      </c>
      <c r="M52" s="1">
        <v>10</v>
      </c>
      <c r="N52" s="1">
        <v>11</v>
      </c>
      <c r="O52" s="1">
        <v>12</v>
      </c>
      <c r="P52" s="1">
        <v>13</v>
      </c>
      <c r="Q52" s="1">
        <v>14</v>
      </c>
      <c r="R52" s="10">
        <v>15</v>
      </c>
      <c r="S52" s="10">
        <v>16</v>
      </c>
      <c r="T52" s="1">
        <v>17</v>
      </c>
      <c r="U52" s="1">
        <v>18</v>
      </c>
      <c r="V52" s="1">
        <v>19</v>
      </c>
      <c r="W52" s="1">
        <v>20</v>
      </c>
      <c r="X52" s="1">
        <v>21</v>
      </c>
      <c r="Y52" s="10">
        <v>22</v>
      </c>
      <c r="Z52" s="10">
        <v>23</v>
      </c>
      <c r="AA52" s="1">
        <v>24</v>
      </c>
      <c r="AB52" s="1">
        <v>25</v>
      </c>
      <c r="AC52" s="1">
        <v>26</v>
      </c>
      <c r="AD52" s="1">
        <v>27</v>
      </c>
      <c r="AE52" s="1">
        <v>28</v>
      </c>
      <c r="AF52" s="10">
        <v>29</v>
      </c>
      <c r="AG52" s="10">
        <v>30</v>
      </c>
      <c r="AH52" s="5">
        <v>31</v>
      </c>
      <c r="AI52" s="56"/>
      <c r="AJ52" s="56"/>
      <c r="AK52" s="47"/>
      <c r="AL52" s="23"/>
      <c r="AM52" s="24"/>
      <c r="AO52" s="126"/>
    </row>
    <row r="53" spans="2:94" ht="30" thickBot="1" x14ac:dyDescent="0.45">
      <c r="B53" s="244"/>
      <c r="C53" s="244"/>
      <c r="D53" s="273" t="s">
        <v>31</v>
      </c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307" t="s">
        <v>98</v>
      </c>
      <c r="AB53" s="307"/>
      <c r="AC53" s="307"/>
      <c r="AD53" s="307"/>
      <c r="AE53" s="307"/>
      <c r="AF53" s="307"/>
      <c r="AG53" s="307"/>
      <c r="AH53" s="308"/>
      <c r="AI53" s="146">
        <v>15</v>
      </c>
      <c r="AK53" s="47"/>
      <c r="AL53" s="23"/>
      <c r="AM53" s="24"/>
      <c r="AO53" s="126"/>
    </row>
    <row r="54" spans="2:94" ht="30" thickBot="1" x14ac:dyDescent="0.45">
      <c r="B54" s="244"/>
      <c r="C54" s="244"/>
      <c r="D54" s="12"/>
      <c r="E54" s="10"/>
      <c r="F54" s="1"/>
      <c r="G54" s="90" t="str">
        <f>(D133)</f>
        <v>Pre Separation Brief</v>
      </c>
      <c r="H54" s="1"/>
      <c r="I54" s="1"/>
      <c r="J54" s="1"/>
      <c r="K54" s="10"/>
      <c r="L54" s="10"/>
      <c r="M54" s="1"/>
      <c r="N54" s="90" t="str">
        <f>(D133)</f>
        <v>Pre Separation Brief</v>
      </c>
      <c r="O54" s="1"/>
      <c r="P54" s="253" t="str">
        <f>(D138)</f>
        <v>Education  2 Day Seminar</v>
      </c>
      <c r="Q54" s="254"/>
      <c r="R54" s="10"/>
      <c r="S54" s="75"/>
      <c r="T54" s="255" t="str">
        <f>(D134)</f>
        <v>Three-Day Transition Workshop</v>
      </c>
      <c r="U54" s="256"/>
      <c r="V54" s="256"/>
      <c r="W54" s="257" t="str">
        <f>(D137)</f>
        <v>Employment 2 Day Seminar</v>
      </c>
      <c r="X54" s="258"/>
      <c r="Y54" s="74"/>
      <c r="Z54" s="10"/>
      <c r="AA54" s="1"/>
      <c r="AB54" s="1"/>
      <c r="AC54" s="1"/>
      <c r="AD54" s="1"/>
      <c r="AE54" s="1"/>
      <c r="AF54" s="10"/>
      <c r="AG54" s="10"/>
      <c r="AH54" s="5"/>
      <c r="AK54" s="47"/>
      <c r="AL54" s="23"/>
      <c r="AM54" s="24"/>
      <c r="AO54" s="126"/>
    </row>
    <row r="55" spans="2:94" ht="30" thickBot="1" x14ac:dyDescent="0.45">
      <c r="B55" s="244"/>
      <c r="C55" s="244"/>
      <c r="D55" s="13"/>
      <c r="E55" s="11"/>
      <c r="F55" s="70" t="s">
        <v>89</v>
      </c>
      <c r="G55" s="7"/>
      <c r="H55" s="7"/>
      <c r="I55" s="7"/>
      <c r="J55" s="7"/>
      <c r="K55" s="11"/>
      <c r="L55" s="11"/>
      <c r="M55" s="7"/>
      <c r="N55" s="7"/>
      <c r="O55" s="7"/>
      <c r="P55" s="7"/>
      <c r="Q55" s="7"/>
      <c r="R55" s="11"/>
      <c r="S55" s="11"/>
      <c r="T55" s="73"/>
      <c r="U55" s="73"/>
      <c r="V55" s="87" t="str">
        <f>(D140)</f>
        <v>VA Individual Appointments</v>
      </c>
      <c r="W55" s="73"/>
      <c r="X55" s="73"/>
      <c r="Y55" s="11"/>
      <c r="Z55" s="11"/>
      <c r="AA55" s="7"/>
      <c r="AB55" s="7"/>
      <c r="AC55" s="7"/>
      <c r="AD55" s="7"/>
      <c r="AE55" s="7"/>
      <c r="AF55" s="11"/>
      <c r="AG55" s="11"/>
      <c r="AH55" s="8"/>
      <c r="AK55" s="47"/>
      <c r="AL55" s="23"/>
      <c r="AM55" s="29">
        <v>8</v>
      </c>
      <c r="AO55" s="126">
        <f>SUM(AO49-AM55)</f>
        <v>7</v>
      </c>
    </row>
    <row r="56" spans="2:94" ht="30" thickBot="1" x14ac:dyDescent="0.45">
      <c r="B56" s="244"/>
      <c r="C56" s="244"/>
      <c r="AK56" s="47"/>
      <c r="AL56" s="23"/>
      <c r="AM56" s="24"/>
      <c r="AO56" s="126"/>
    </row>
    <row r="57" spans="2:94" ht="29.25" x14ac:dyDescent="0.4">
      <c r="B57" s="244"/>
      <c r="C57" s="244"/>
      <c r="D57" s="194">
        <v>46266</v>
      </c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6"/>
      <c r="AJ57" s="146" t="s">
        <v>55</v>
      </c>
      <c r="AK57" s="47">
        <f>SUM(AK51+2.5-AM55)</f>
        <v>65.5</v>
      </c>
      <c r="AL57" s="23"/>
      <c r="AM57" s="24"/>
      <c r="AO57" s="126"/>
    </row>
    <row r="58" spans="2:94" ht="29.25" x14ac:dyDescent="0.4">
      <c r="B58" s="244"/>
      <c r="C58" s="244"/>
      <c r="D58" s="4">
        <v>1</v>
      </c>
      <c r="E58" s="1">
        <v>2</v>
      </c>
      <c r="F58" s="1">
        <v>3</v>
      </c>
      <c r="G58" s="1">
        <v>4</v>
      </c>
      <c r="H58" s="10">
        <v>5</v>
      </c>
      <c r="I58" s="10">
        <v>6</v>
      </c>
      <c r="J58" s="1">
        <v>7</v>
      </c>
      <c r="K58" s="1">
        <v>8</v>
      </c>
      <c r="L58" s="1">
        <v>9</v>
      </c>
      <c r="M58" s="1">
        <v>10</v>
      </c>
      <c r="N58" s="1">
        <v>11</v>
      </c>
      <c r="O58" s="10">
        <v>12</v>
      </c>
      <c r="P58" s="10">
        <v>13</v>
      </c>
      <c r="Q58" s="1">
        <v>14</v>
      </c>
      <c r="R58" s="1">
        <v>15</v>
      </c>
      <c r="S58" s="1">
        <v>16</v>
      </c>
      <c r="T58" s="1">
        <v>17</v>
      </c>
      <c r="U58" s="1">
        <v>18</v>
      </c>
      <c r="V58" s="10">
        <v>19</v>
      </c>
      <c r="W58" s="10">
        <v>20</v>
      </c>
      <c r="X58" s="1">
        <v>21</v>
      </c>
      <c r="Y58" s="1">
        <v>22</v>
      </c>
      <c r="Z58" s="1">
        <v>23</v>
      </c>
      <c r="AA58" s="1">
        <v>24</v>
      </c>
      <c r="AB58" s="1">
        <v>25</v>
      </c>
      <c r="AC58" s="10">
        <v>26</v>
      </c>
      <c r="AD58" s="10">
        <v>27</v>
      </c>
      <c r="AE58" s="1">
        <v>28</v>
      </c>
      <c r="AF58" s="1">
        <v>29</v>
      </c>
      <c r="AG58" s="1">
        <v>30</v>
      </c>
      <c r="AH58" s="5"/>
      <c r="AK58" s="47"/>
      <c r="AL58" s="23"/>
      <c r="AM58" s="24"/>
      <c r="AO58" s="126"/>
    </row>
    <row r="59" spans="2:94" ht="29.25" x14ac:dyDescent="0.4">
      <c r="B59" s="244"/>
      <c r="C59" s="244"/>
      <c r="D59" s="320" t="s">
        <v>32</v>
      </c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5" t="s">
        <v>99</v>
      </c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6"/>
      <c r="AH59" s="5"/>
      <c r="AI59" s="146">
        <v>8</v>
      </c>
      <c r="AK59" s="47"/>
      <c r="AL59" s="23"/>
      <c r="AM59" s="24"/>
      <c r="AO59" s="126"/>
    </row>
    <row r="60" spans="2:94" ht="30" thickBot="1" x14ac:dyDescent="0.45">
      <c r="B60" s="244"/>
      <c r="C60" s="244"/>
      <c r="D60" s="78"/>
      <c r="E60" s="78"/>
      <c r="F60" s="78"/>
      <c r="G60" s="78"/>
      <c r="H60" s="80"/>
      <c r="I60" s="80"/>
      <c r="J60" s="78"/>
      <c r="K60" s="95" t="str">
        <f>(D132)</f>
        <v>Initial Individual Counseling</v>
      </c>
      <c r="L60" s="96"/>
      <c r="M60" s="99"/>
      <c r="N60" s="99"/>
      <c r="O60" s="97"/>
      <c r="P60" s="85"/>
      <c r="Q60" s="288" t="str">
        <f>(D134)</f>
        <v>Three-Day Transition Workshop</v>
      </c>
      <c r="R60" s="289"/>
      <c r="S60" s="290"/>
      <c r="T60" s="304" t="str">
        <f>(D136)</f>
        <v>Career &amp; Credential Exploration 2 Day Seminar</v>
      </c>
      <c r="U60" s="305"/>
      <c r="V60" s="85"/>
      <c r="W60" s="85"/>
      <c r="X60" s="84"/>
      <c r="Y60" s="84"/>
      <c r="Z60" s="84"/>
      <c r="AA60" s="84"/>
      <c r="AB60" s="84"/>
      <c r="AC60" s="85"/>
      <c r="AD60" s="85"/>
      <c r="AE60" s="84"/>
      <c r="AF60" s="95" t="str">
        <f>(D132)</f>
        <v>Initial Individual Counseling</v>
      </c>
      <c r="AG60" s="84"/>
      <c r="AH60" s="147"/>
      <c r="AK60" s="47"/>
      <c r="AL60" s="23"/>
      <c r="AM60" s="27"/>
      <c r="AO60" s="126"/>
    </row>
    <row r="61" spans="2:94" ht="30" thickBot="1" x14ac:dyDescent="0.45">
      <c r="B61" s="244"/>
      <c r="C61" s="244"/>
      <c r="D61" s="72"/>
      <c r="E61" s="73"/>
      <c r="F61" s="155"/>
      <c r="G61" s="73"/>
      <c r="H61" s="79"/>
      <c r="I61" s="79"/>
      <c r="J61" s="142" t="s">
        <v>83</v>
      </c>
      <c r="K61" s="81"/>
      <c r="L61" s="81"/>
      <c r="M61" s="98"/>
      <c r="N61" s="98"/>
      <c r="O61" s="82"/>
      <c r="P61" s="82"/>
      <c r="Q61" s="81"/>
      <c r="R61" s="81"/>
      <c r="S61" s="88" t="str">
        <f>(D140)</f>
        <v>VA Individual Appointments</v>
      </c>
      <c r="T61" s="81"/>
      <c r="U61" s="81"/>
      <c r="V61" s="82"/>
      <c r="W61" s="82"/>
      <c r="X61" s="81"/>
      <c r="Y61" s="81"/>
      <c r="Z61" s="81"/>
      <c r="AA61" s="81"/>
      <c r="AB61" s="81"/>
      <c r="AC61" s="82"/>
      <c r="AD61" s="82"/>
      <c r="AE61" s="81"/>
      <c r="AF61" s="81"/>
      <c r="AG61" s="81"/>
      <c r="AH61" s="83"/>
      <c r="AK61" s="47"/>
      <c r="AL61" s="26"/>
      <c r="AM61" s="29">
        <v>18</v>
      </c>
      <c r="AO61" s="126">
        <f>SUM(AO55-AM61)</f>
        <v>-11</v>
      </c>
    </row>
    <row r="62" spans="2:94" ht="15.75" thickBot="1" x14ac:dyDescent="0.25">
      <c r="B62" s="244"/>
      <c r="C62" s="244"/>
      <c r="AK62" s="47"/>
      <c r="AL62" s="23"/>
      <c r="AM62" s="28"/>
    </row>
    <row r="63" spans="2:94" x14ac:dyDescent="0.2">
      <c r="B63" s="244"/>
      <c r="C63" s="244"/>
      <c r="D63" s="194">
        <v>46296</v>
      </c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6"/>
      <c r="AJ63" s="146" t="s">
        <v>56</v>
      </c>
      <c r="AK63" s="47">
        <f>SUM(AK57+2.5-AM61)</f>
        <v>50</v>
      </c>
      <c r="AL63" s="23"/>
      <c r="AM63" s="24"/>
    </row>
    <row r="64" spans="2:94" x14ac:dyDescent="0.2">
      <c r="B64" s="244"/>
      <c r="C64" s="244"/>
      <c r="D64" s="4">
        <v>1</v>
      </c>
      <c r="E64" s="1">
        <v>2</v>
      </c>
      <c r="F64" s="10">
        <v>3</v>
      </c>
      <c r="G64" s="10">
        <v>4</v>
      </c>
      <c r="H64" s="1">
        <v>5</v>
      </c>
      <c r="I64" s="1">
        <v>6</v>
      </c>
      <c r="J64" s="1">
        <v>7</v>
      </c>
      <c r="K64" s="1">
        <v>8</v>
      </c>
      <c r="L64" s="1">
        <v>9</v>
      </c>
      <c r="M64" s="10">
        <v>10</v>
      </c>
      <c r="N64" s="10">
        <v>11</v>
      </c>
      <c r="O64" s="1">
        <v>12</v>
      </c>
      <c r="P64" s="1">
        <v>13</v>
      </c>
      <c r="Q64" s="1">
        <v>14</v>
      </c>
      <c r="R64" s="1">
        <v>15</v>
      </c>
      <c r="S64" s="1">
        <v>16</v>
      </c>
      <c r="T64" s="10">
        <v>17</v>
      </c>
      <c r="U64" s="10">
        <v>18</v>
      </c>
      <c r="V64" s="1">
        <v>19</v>
      </c>
      <c r="W64" s="1">
        <v>20</v>
      </c>
      <c r="X64" s="1">
        <v>21</v>
      </c>
      <c r="Y64" s="1">
        <v>22</v>
      </c>
      <c r="Z64" s="1">
        <v>23</v>
      </c>
      <c r="AA64" s="10">
        <v>24</v>
      </c>
      <c r="AB64" s="10">
        <v>25</v>
      </c>
      <c r="AC64" s="62">
        <v>26</v>
      </c>
      <c r="AD64" s="62">
        <v>27</v>
      </c>
      <c r="AE64" s="62">
        <v>28</v>
      </c>
      <c r="AF64" s="62">
        <v>29</v>
      </c>
      <c r="AG64" s="62">
        <v>30</v>
      </c>
      <c r="AH64" s="14">
        <v>31</v>
      </c>
      <c r="AI64" s="56"/>
      <c r="AJ64" s="56"/>
      <c r="AK64" s="47"/>
      <c r="AL64" s="23"/>
      <c r="AM64" s="24"/>
      <c r="BL64" s="262" t="s">
        <v>0</v>
      </c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</row>
    <row r="65" spans="1:94" ht="21.75" thickBot="1" x14ac:dyDescent="0.35">
      <c r="B65" s="244"/>
      <c r="C65" s="244"/>
      <c r="D65" s="151" t="s">
        <v>100</v>
      </c>
      <c r="E65" s="327" t="s">
        <v>12</v>
      </c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/>
      <c r="AA65" s="327"/>
      <c r="AB65" s="327"/>
      <c r="AC65" s="327"/>
      <c r="AD65" s="327"/>
      <c r="AE65" s="327"/>
      <c r="AF65" s="327"/>
      <c r="AG65" s="327"/>
      <c r="AH65" s="380"/>
      <c r="AI65" s="56">
        <v>0</v>
      </c>
      <c r="AJ65" s="56"/>
      <c r="AK65" s="47"/>
      <c r="AL65" s="23"/>
      <c r="AM65" s="24"/>
      <c r="BL65">
        <v>1</v>
      </c>
      <c r="BM65">
        <v>2</v>
      </c>
      <c r="BN65">
        <v>3</v>
      </c>
      <c r="BO65">
        <v>4</v>
      </c>
      <c r="BP65">
        <v>5</v>
      </c>
      <c r="BQ65">
        <v>6</v>
      </c>
      <c r="BR65">
        <v>7</v>
      </c>
      <c r="BS65">
        <v>8</v>
      </c>
      <c r="BT65">
        <v>9</v>
      </c>
      <c r="BU65">
        <v>10</v>
      </c>
      <c r="BV65">
        <v>11</v>
      </c>
      <c r="BW65">
        <v>12</v>
      </c>
      <c r="BX65">
        <v>13</v>
      </c>
      <c r="BY65">
        <v>14</v>
      </c>
      <c r="BZ65">
        <v>15</v>
      </c>
      <c r="CA65">
        <v>16</v>
      </c>
      <c r="CB65">
        <v>17</v>
      </c>
      <c r="CC65">
        <v>18</v>
      </c>
      <c r="CD65">
        <v>19</v>
      </c>
      <c r="CE65">
        <v>20</v>
      </c>
      <c r="CF65">
        <v>21</v>
      </c>
      <c r="CG65">
        <v>22</v>
      </c>
      <c r="CH65">
        <v>23</v>
      </c>
      <c r="CI65">
        <v>24</v>
      </c>
      <c r="CJ65">
        <v>25</v>
      </c>
      <c r="CK65">
        <v>26</v>
      </c>
      <c r="CL65">
        <v>27</v>
      </c>
      <c r="CM65">
        <v>28</v>
      </c>
      <c r="CN65">
        <v>29</v>
      </c>
      <c r="CO65">
        <v>30</v>
      </c>
      <c r="CP65">
        <v>31</v>
      </c>
    </row>
    <row r="66" spans="1:94" ht="15.75" thickBot="1" x14ac:dyDescent="0.25">
      <c r="B66" s="244"/>
      <c r="C66" s="244"/>
      <c r="D66" s="4"/>
      <c r="E66" s="1"/>
      <c r="F66" s="10"/>
      <c r="G66" s="10"/>
      <c r="H66" s="250" t="str">
        <f>(D135)</f>
        <v>Entrepreneurship 2-Day Seminar</v>
      </c>
      <c r="I66" s="251"/>
      <c r="J66" s="1"/>
      <c r="K66" s="1"/>
      <c r="L66" s="1"/>
      <c r="M66" s="10"/>
      <c r="N66" s="10"/>
      <c r="O66" s="1"/>
      <c r="P66" s="1"/>
      <c r="Q66" s="1"/>
      <c r="R66" s="1"/>
      <c r="S66" s="1"/>
      <c r="T66" s="10"/>
      <c r="U66" s="10"/>
      <c r="V66" s="288" t="str">
        <f>(D134)</f>
        <v>Three-Day Transition Workshop</v>
      </c>
      <c r="W66" s="289"/>
      <c r="X66" s="290"/>
      <c r="Y66" s="257" t="str">
        <f>(D137)</f>
        <v>Employment 2 Day Seminar</v>
      </c>
      <c r="Z66" s="258"/>
      <c r="AA66" s="10"/>
      <c r="AB66" s="10"/>
      <c r="AC66" s="59"/>
      <c r="AD66" s="153" t="str">
        <f>(D133)</f>
        <v>Pre Separation Brief</v>
      </c>
      <c r="AE66" s="59"/>
      <c r="AF66" s="154" t="str">
        <f>(D138)</f>
        <v>Education  2 Day Seminar</v>
      </c>
      <c r="AG66" s="59"/>
      <c r="AH66" s="14"/>
      <c r="AK66" s="47"/>
      <c r="AL66" s="23"/>
      <c r="AM66" s="27"/>
    </row>
    <row r="67" spans="1:94" ht="15.75" thickBot="1" x14ac:dyDescent="0.25">
      <c r="B67" s="244"/>
      <c r="C67" s="244"/>
      <c r="D67" s="4"/>
      <c r="E67" s="1"/>
      <c r="F67" s="10"/>
      <c r="G67" s="10"/>
      <c r="H67" s="155"/>
      <c r="I67" s="1"/>
      <c r="J67" s="1"/>
      <c r="K67" s="1"/>
      <c r="L67" s="70" t="s">
        <v>29</v>
      </c>
      <c r="M67" s="10"/>
      <c r="N67" s="10"/>
      <c r="O67" s="141" t="s">
        <v>84</v>
      </c>
      <c r="P67" s="1"/>
      <c r="Q67" s="1"/>
      <c r="R67" s="1"/>
      <c r="S67" s="1"/>
      <c r="T67" s="10"/>
      <c r="U67" s="10"/>
      <c r="V67" s="1"/>
      <c r="W67" s="1"/>
      <c r="X67" s="88" t="str">
        <f>(D140)</f>
        <v>VA Individual Appointments</v>
      </c>
      <c r="Y67" s="1"/>
      <c r="Z67" s="1"/>
      <c r="AA67" s="10"/>
      <c r="AB67" s="10"/>
      <c r="AC67" s="1"/>
      <c r="AD67" s="1"/>
      <c r="AE67" s="1"/>
      <c r="AF67" s="1"/>
      <c r="AG67" s="1"/>
      <c r="AH67" s="15"/>
      <c r="AK67" s="47"/>
      <c r="AL67" s="26"/>
      <c r="AM67" s="29">
        <v>0</v>
      </c>
    </row>
    <row r="68" spans="1:94" ht="15.75" thickBot="1" x14ac:dyDescent="0.25">
      <c r="B68" s="244"/>
      <c r="C68" s="24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K68" s="47"/>
      <c r="AL68" s="23"/>
      <c r="AM68" s="28"/>
    </row>
    <row r="69" spans="1:94" ht="15.75" thickBot="1" x14ac:dyDescent="0.25">
      <c r="B69" s="244"/>
      <c r="C69" s="244"/>
      <c r="D69" s="190">
        <v>46327</v>
      </c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2"/>
      <c r="AG69" s="192"/>
      <c r="AH69" s="193"/>
      <c r="AJ69" s="146" t="s">
        <v>57</v>
      </c>
      <c r="AK69" s="47">
        <f>SUM(AK63+2.5-AM67)</f>
        <v>52.5</v>
      </c>
      <c r="AL69" s="23"/>
      <c r="AM69" s="24"/>
    </row>
    <row r="70" spans="1:94" x14ac:dyDescent="0.2">
      <c r="B70" s="244"/>
      <c r="C70" s="244"/>
      <c r="D70" s="120">
        <v>1</v>
      </c>
      <c r="E70" s="57">
        <v>2</v>
      </c>
      <c r="F70" s="57">
        <v>3</v>
      </c>
      <c r="G70" s="57">
        <v>4</v>
      </c>
      <c r="H70" s="57">
        <v>5</v>
      </c>
      <c r="I70" s="57">
        <v>6</v>
      </c>
      <c r="J70" s="58">
        <v>7</v>
      </c>
      <c r="K70" s="58">
        <v>8</v>
      </c>
      <c r="L70" s="57">
        <v>9</v>
      </c>
      <c r="M70" s="57">
        <v>10</v>
      </c>
      <c r="N70" s="57">
        <v>11</v>
      </c>
      <c r="O70" s="57">
        <v>12</v>
      </c>
      <c r="P70" s="57">
        <v>13</v>
      </c>
      <c r="Q70" s="58">
        <v>14</v>
      </c>
      <c r="R70" s="58">
        <v>15</v>
      </c>
      <c r="S70" s="57">
        <v>16</v>
      </c>
      <c r="T70" s="57">
        <v>17</v>
      </c>
      <c r="U70" s="57">
        <v>18</v>
      </c>
      <c r="V70" s="57">
        <v>19</v>
      </c>
      <c r="W70" s="57">
        <v>20</v>
      </c>
      <c r="X70" s="58">
        <v>21</v>
      </c>
      <c r="Y70" s="58">
        <v>22</v>
      </c>
      <c r="Z70" s="57">
        <v>23</v>
      </c>
      <c r="AA70" s="57">
        <v>24</v>
      </c>
      <c r="AB70" s="68">
        <v>25</v>
      </c>
      <c r="AC70" s="68">
        <v>26</v>
      </c>
      <c r="AD70" s="68">
        <v>27</v>
      </c>
      <c r="AE70" s="69">
        <v>28</v>
      </c>
      <c r="AF70" s="69">
        <v>29</v>
      </c>
      <c r="AG70" s="64">
        <v>30</v>
      </c>
      <c r="AH70" s="3"/>
      <c r="AI70" s="56"/>
      <c r="AJ70" s="56"/>
      <c r="AK70" s="47"/>
      <c r="AL70" s="23"/>
      <c r="AM70" s="24"/>
    </row>
    <row r="71" spans="1:94" x14ac:dyDescent="0.2">
      <c r="A71" s="67"/>
      <c r="B71" s="244"/>
      <c r="C71" s="244"/>
      <c r="D71" s="156" t="s">
        <v>101</v>
      </c>
      <c r="E71" s="268" t="s">
        <v>102</v>
      </c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379"/>
      <c r="AH71" s="5"/>
      <c r="AI71" s="146">
        <v>0</v>
      </c>
      <c r="AK71" s="47"/>
      <c r="AL71" s="23"/>
      <c r="AM71" s="24"/>
    </row>
    <row r="72" spans="1:94" ht="15.75" thickBot="1" x14ac:dyDescent="0.25">
      <c r="B72" s="244"/>
      <c r="C72" s="244"/>
      <c r="D72" s="121"/>
      <c r="E72" s="59"/>
      <c r="F72" s="59"/>
      <c r="G72" s="59"/>
      <c r="H72" s="59"/>
      <c r="I72" s="59"/>
      <c r="J72" s="60"/>
      <c r="K72" s="60"/>
      <c r="L72" s="59"/>
      <c r="M72" s="59"/>
      <c r="N72" s="59"/>
      <c r="O72" s="298" t="str">
        <f>(D136)</f>
        <v>Career &amp; Credential Exploration 2 Day Seminar</v>
      </c>
      <c r="P72" s="299"/>
      <c r="Q72" s="60"/>
      <c r="R72" s="60"/>
      <c r="S72" s="295" t="str">
        <f>(D134)</f>
        <v>Three-Day Transition Workshop</v>
      </c>
      <c r="T72" s="296"/>
      <c r="U72" s="297"/>
      <c r="V72" s="280" t="str">
        <f>(D137)</f>
        <v>Employment 2 Day Seminar</v>
      </c>
      <c r="W72" s="281"/>
      <c r="X72" s="60"/>
      <c r="Y72" s="60"/>
      <c r="Z72" s="59"/>
      <c r="AA72" s="123" t="str">
        <f>(D133)</f>
        <v>Pre Separation Brief</v>
      </c>
      <c r="AB72" s="59"/>
      <c r="AC72" s="59"/>
      <c r="AD72" s="59"/>
      <c r="AE72" s="60"/>
      <c r="AF72" s="60"/>
      <c r="AG72" s="1"/>
      <c r="AH72" s="5"/>
      <c r="AK72" s="47"/>
      <c r="AL72" s="23"/>
      <c r="AM72" s="27"/>
    </row>
    <row r="73" spans="1:94" ht="15.75" thickBot="1" x14ac:dyDescent="0.25">
      <c r="B73" s="244"/>
      <c r="C73" s="244"/>
      <c r="D73" s="13"/>
      <c r="E73" s="7"/>
      <c r="F73" s="92" t="str">
        <f>(D133)</f>
        <v>Pre Separation Brief</v>
      </c>
      <c r="G73" s="7"/>
      <c r="H73" s="7"/>
      <c r="I73" s="7"/>
      <c r="J73" s="11"/>
      <c r="K73" s="11"/>
      <c r="L73" s="7"/>
      <c r="M73" s="7"/>
      <c r="N73" s="143" t="s">
        <v>85</v>
      </c>
      <c r="O73" s="7"/>
      <c r="P73" s="7"/>
      <c r="Q73" s="11"/>
      <c r="R73" s="11"/>
      <c r="S73" s="7"/>
      <c r="T73" s="7"/>
      <c r="U73" s="89" t="str">
        <f>(D140)</f>
        <v>VA Individual Appointments</v>
      </c>
      <c r="V73" s="7"/>
      <c r="W73" s="7"/>
      <c r="X73" s="11"/>
      <c r="Y73" s="11"/>
      <c r="Z73" s="7"/>
      <c r="AA73" s="7"/>
      <c r="AB73" s="7"/>
      <c r="AC73" s="211" t="s">
        <v>2</v>
      </c>
      <c r="AD73" s="212"/>
      <c r="AE73" s="11"/>
      <c r="AF73" s="11"/>
      <c r="AG73" s="7"/>
      <c r="AH73" s="8"/>
      <c r="AK73" s="47"/>
      <c r="AL73" s="26"/>
      <c r="AM73" s="29">
        <v>0</v>
      </c>
    </row>
    <row r="74" spans="1:94" ht="15.75" thickBot="1" x14ac:dyDescent="0.25">
      <c r="B74" s="244"/>
      <c r="C74" s="24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K74" s="47"/>
      <c r="AL74" s="23"/>
      <c r="AM74" s="28"/>
    </row>
    <row r="75" spans="1:94" x14ac:dyDescent="0.2">
      <c r="B75" s="244"/>
      <c r="C75" s="244"/>
      <c r="D75" s="217">
        <v>46357</v>
      </c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9"/>
      <c r="AG75" s="219"/>
      <c r="AH75" s="220"/>
      <c r="AJ75" s="146" t="s">
        <v>58</v>
      </c>
      <c r="AK75" s="47">
        <f>SUM(AK69+2.5-AM73)</f>
        <v>55</v>
      </c>
      <c r="AL75" s="23"/>
      <c r="AM75" s="24"/>
    </row>
    <row r="76" spans="1:94" x14ac:dyDescent="0.2">
      <c r="B76" s="244"/>
      <c r="C76" s="244"/>
      <c r="D76" s="4">
        <v>1</v>
      </c>
      <c r="E76" s="1">
        <v>2</v>
      </c>
      <c r="F76" s="1">
        <v>3</v>
      </c>
      <c r="G76" s="1">
        <v>4</v>
      </c>
      <c r="H76" s="10">
        <v>5</v>
      </c>
      <c r="I76" s="10">
        <v>6</v>
      </c>
      <c r="J76" s="1">
        <v>7</v>
      </c>
      <c r="K76" s="1">
        <v>8</v>
      </c>
      <c r="L76" s="1">
        <v>9</v>
      </c>
      <c r="M76" s="1">
        <v>10</v>
      </c>
      <c r="N76" s="1">
        <v>11</v>
      </c>
      <c r="O76" s="10">
        <v>12</v>
      </c>
      <c r="P76" s="10">
        <v>13</v>
      </c>
      <c r="Q76" s="1">
        <v>14</v>
      </c>
      <c r="R76" s="1">
        <v>15</v>
      </c>
      <c r="S76" s="1">
        <v>16</v>
      </c>
      <c r="T76" s="1">
        <v>17</v>
      </c>
      <c r="U76" s="1">
        <v>18</v>
      </c>
      <c r="V76" s="10">
        <v>19</v>
      </c>
      <c r="W76" s="10">
        <v>20</v>
      </c>
      <c r="X76" s="1">
        <v>21</v>
      </c>
      <c r="Y76" s="1">
        <v>22</v>
      </c>
      <c r="Z76" s="1">
        <v>23</v>
      </c>
      <c r="AA76" s="1">
        <v>24</v>
      </c>
      <c r="AB76" s="1">
        <v>25</v>
      </c>
      <c r="AC76" s="10">
        <v>26</v>
      </c>
      <c r="AD76" s="10">
        <v>27</v>
      </c>
      <c r="AE76" s="1">
        <v>28</v>
      </c>
      <c r="AF76" s="1">
        <v>29</v>
      </c>
      <c r="AG76" s="1">
        <v>30</v>
      </c>
      <c r="AH76" s="1">
        <v>31</v>
      </c>
      <c r="AK76" s="47"/>
      <c r="AL76" s="23"/>
      <c r="AM76" s="24"/>
    </row>
    <row r="77" spans="1:94" ht="15.75" thickBot="1" x14ac:dyDescent="0.25">
      <c r="B77" s="244"/>
      <c r="C77" s="244"/>
      <c r="D77" s="315" t="s">
        <v>96</v>
      </c>
      <c r="E77" s="315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/>
      <c r="AF77" s="315"/>
      <c r="AG77" s="315"/>
      <c r="AH77" s="315"/>
      <c r="AI77" s="146">
        <v>0</v>
      </c>
      <c r="AK77" s="47"/>
      <c r="AL77" s="23"/>
      <c r="AM77" s="24"/>
    </row>
    <row r="78" spans="1:94" ht="15.75" thickBot="1" x14ac:dyDescent="0.25">
      <c r="B78" s="244"/>
      <c r="C78" s="244"/>
      <c r="D78" s="91" t="str">
        <f>(D133)</f>
        <v>Pre Separation Brief</v>
      </c>
      <c r="E78" s="1"/>
      <c r="F78" s="1"/>
      <c r="G78" s="1"/>
      <c r="H78" s="10"/>
      <c r="I78" s="10"/>
      <c r="J78" s="288" t="str">
        <f>(D134)</f>
        <v>Three-Day Transition Workshop</v>
      </c>
      <c r="K78" s="289"/>
      <c r="L78" s="290"/>
      <c r="M78" s="257" t="str">
        <f>(D137)</f>
        <v>Employment 2 Day Seminar</v>
      </c>
      <c r="N78" s="258"/>
      <c r="O78" s="10"/>
      <c r="P78" s="10"/>
      <c r="Q78" s="1"/>
      <c r="R78" s="90" t="str">
        <f>(D133)</f>
        <v>Pre Separation Brief</v>
      </c>
      <c r="S78" s="1"/>
      <c r="T78" s="1"/>
      <c r="U78" s="1"/>
      <c r="V78" s="10"/>
      <c r="W78" s="10"/>
      <c r="X78" s="1"/>
      <c r="Y78" s="1"/>
      <c r="Z78" s="1"/>
      <c r="AA78" s="1"/>
      <c r="AB78" s="1"/>
      <c r="AC78" s="10"/>
      <c r="AD78" s="10"/>
      <c r="AE78" s="1"/>
      <c r="AF78" s="1"/>
      <c r="AG78" s="1"/>
      <c r="AH78" s="5"/>
      <c r="AK78" s="47"/>
      <c r="AL78" s="23"/>
      <c r="AM78" s="27"/>
    </row>
    <row r="79" spans="1:94" ht="15.75" thickBot="1" x14ac:dyDescent="0.25">
      <c r="B79" s="244"/>
      <c r="C79" s="244"/>
      <c r="D79" s="6"/>
      <c r="E79" s="7"/>
      <c r="F79" s="7"/>
      <c r="G79" s="7"/>
      <c r="H79" s="11"/>
      <c r="I79" s="11"/>
      <c r="J79" s="7"/>
      <c r="K79" s="7"/>
      <c r="L79" s="89" t="str">
        <f>(D140)</f>
        <v>VA Individual Appointments</v>
      </c>
      <c r="M79" s="7"/>
      <c r="N79" s="7"/>
      <c r="O79" s="11"/>
      <c r="P79" s="11"/>
      <c r="Q79" s="7"/>
      <c r="R79" s="7"/>
      <c r="S79" s="7"/>
      <c r="T79" s="7"/>
      <c r="U79" s="7"/>
      <c r="V79" s="11"/>
      <c r="W79" s="11"/>
      <c r="X79" s="7"/>
      <c r="Y79" s="7"/>
      <c r="Z79" s="7"/>
      <c r="AA79" s="22" t="s">
        <v>3</v>
      </c>
      <c r="AB79" s="22" t="s">
        <v>3</v>
      </c>
      <c r="AC79" s="11"/>
      <c r="AD79" s="11"/>
      <c r="AE79" s="7"/>
      <c r="AF79" s="7"/>
      <c r="AG79" s="7"/>
      <c r="AH79" s="22" t="s">
        <v>3</v>
      </c>
      <c r="AK79" s="47"/>
      <c r="AL79" s="26"/>
      <c r="AM79" s="29">
        <v>0</v>
      </c>
    </row>
    <row r="80" spans="1:94" ht="15.75" thickBot="1" x14ac:dyDescent="0.25">
      <c r="B80" s="244"/>
      <c r="C80" s="24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K80" s="47"/>
      <c r="AL80" s="23"/>
      <c r="AM80" s="28"/>
    </row>
    <row r="81" spans="2:39" ht="24.75" x14ac:dyDescent="0.35">
      <c r="B81" s="244"/>
      <c r="C81" s="244"/>
      <c r="D81" s="194">
        <v>46388</v>
      </c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6"/>
      <c r="AI81" s="140"/>
      <c r="AJ81" s="146" t="s">
        <v>59</v>
      </c>
      <c r="AK81" s="47">
        <f>SUM(AK75+2.5-AM79)</f>
        <v>57.5</v>
      </c>
      <c r="AL81" s="23"/>
      <c r="AM81" s="24"/>
    </row>
    <row r="82" spans="2:39" x14ac:dyDescent="0.2">
      <c r="B82" s="244"/>
      <c r="C82" s="244"/>
      <c r="D82" s="4">
        <v>1</v>
      </c>
      <c r="E82" s="10">
        <v>2</v>
      </c>
      <c r="F82" s="10">
        <v>3</v>
      </c>
      <c r="G82" s="1">
        <v>4</v>
      </c>
      <c r="H82" s="1">
        <v>5</v>
      </c>
      <c r="I82" s="1">
        <v>6</v>
      </c>
      <c r="J82" s="1">
        <v>7</v>
      </c>
      <c r="K82" s="1">
        <v>8</v>
      </c>
      <c r="L82" s="10">
        <v>9</v>
      </c>
      <c r="M82" s="10">
        <v>10</v>
      </c>
      <c r="N82" s="1">
        <v>11</v>
      </c>
      <c r="O82" s="1">
        <v>12</v>
      </c>
      <c r="P82" s="1">
        <v>13</v>
      </c>
      <c r="Q82" s="1">
        <v>14</v>
      </c>
      <c r="R82" s="1">
        <v>15</v>
      </c>
      <c r="S82" s="10">
        <v>16</v>
      </c>
      <c r="T82" s="10">
        <v>17</v>
      </c>
      <c r="U82" s="1">
        <v>18</v>
      </c>
      <c r="V82" s="1">
        <v>19</v>
      </c>
      <c r="W82" s="1">
        <v>20</v>
      </c>
      <c r="X82" s="1">
        <v>21</v>
      </c>
      <c r="Y82" s="1">
        <v>22</v>
      </c>
      <c r="Z82" s="10">
        <v>23</v>
      </c>
      <c r="AA82" s="10">
        <v>24</v>
      </c>
      <c r="AB82" s="1">
        <v>25</v>
      </c>
      <c r="AC82" s="1">
        <v>26</v>
      </c>
      <c r="AD82" s="1">
        <v>27</v>
      </c>
      <c r="AE82" s="1">
        <v>28</v>
      </c>
      <c r="AF82" s="1">
        <v>29</v>
      </c>
      <c r="AG82" s="10">
        <v>30</v>
      </c>
      <c r="AH82" s="40">
        <v>31</v>
      </c>
      <c r="AI82" s="146" t="s">
        <v>86</v>
      </c>
      <c r="AK82" s="47"/>
      <c r="AL82" s="23"/>
      <c r="AM82" s="24"/>
    </row>
    <row r="83" spans="2:39" ht="24.75" x14ac:dyDescent="0.35">
      <c r="B83" s="244"/>
      <c r="C83" s="244"/>
      <c r="D83" s="231" t="s">
        <v>93</v>
      </c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2"/>
      <c r="AI83" s="140">
        <f>SUM(AI55:AI82)</f>
        <v>8</v>
      </c>
      <c r="AK83" s="47"/>
      <c r="AL83" s="23"/>
      <c r="AM83" s="24"/>
    </row>
    <row r="84" spans="2:39" ht="25.5" thickBot="1" x14ac:dyDescent="0.4">
      <c r="B84" s="244"/>
      <c r="C84" s="244"/>
      <c r="D84" s="4"/>
      <c r="E84" s="10"/>
      <c r="F84" s="10"/>
      <c r="G84" s="1"/>
      <c r="H84" s="1"/>
      <c r="I84" s="1"/>
      <c r="J84" s="1"/>
      <c r="K84" s="1"/>
      <c r="L84" s="10"/>
      <c r="M84" s="10"/>
      <c r="N84" s="1"/>
      <c r="O84" s="1"/>
      <c r="P84" s="1"/>
      <c r="Q84" s="1"/>
      <c r="R84" s="1"/>
      <c r="S84" s="10"/>
      <c r="T84" s="10"/>
      <c r="U84" s="1"/>
      <c r="V84" s="1"/>
      <c r="W84" s="1"/>
      <c r="X84" s="1"/>
      <c r="Y84" s="1"/>
      <c r="Z84" s="10"/>
      <c r="AA84" s="10"/>
      <c r="AB84" s="1"/>
      <c r="AC84" s="1"/>
      <c r="AD84" s="1"/>
      <c r="AE84" s="1"/>
      <c r="AF84" s="1"/>
      <c r="AG84" s="10"/>
      <c r="AH84" s="40"/>
      <c r="AI84" s="140"/>
      <c r="AK84" s="47"/>
      <c r="AL84" s="23"/>
      <c r="AM84" s="27"/>
    </row>
    <row r="85" spans="2:39" ht="15.75" thickBot="1" x14ac:dyDescent="0.25">
      <c r="B85" s="244"/>
      <c r="C85" s="244"/>
      <c r="D85" s="21" t="s">
        <v>2</v>
      </c>
      <c r="E85" s="10"/>
      <c r="F85" s="10"/>
      <c r="G85" s="1"/>
      <c r="H85" s="1"/>
      <c r="I85" s="1"/>
      <c r="J85" s="1"/>
      <c r="K85" s="1"/>
      <c r="L85" s="10"/>
      <c r="M85" s="10"/>
      <c r="N85" s="1"/>
      <c r="O85" s="1"/>
      <c r="P85" s="1"/>
      <c r="Q85" s="1"/>
      <c r="R85" s="1"/>
      <c r="S85" s="10"/>
      <c r="T85" s="10"/>
      <c r="U85" s="141" t="s">
        <v>81</v>
      </c>
      <c r="V85" s="1"/>
      <c r="W85" s="1"/>
      <c r="X85" s="1"/>
      <c r="Y85" s="1"/>
      <c r="Z85" s="10"/>
      <c r="AA85" s="10"/>
      <c r="AB85" s="1"/>
      <c r="AC85" s="1"/>
      <c r="AD85" s="1"/>
      <c r="AE85" s="1"/>
      <c r="AF85" s="1"/>
      <c r="AG85" s="10"/>
      <c r="AH85" s="40"/>
      <c r="AK85" s="47"/>
      <c r="AL85" s="26"/>
      <c r="AM85" s="29">
        <v>31</v>
      </c>
    </row>
    <row r="86" spans="2:39" ht="15.75" thickBot="1" x14ac:dyDescent="0.25">
      <c r="B86" s="244"/>
      <c r="C86" s="244"/>
      <c r="AK86" s="47"/>
      <c r="AL86" s="23"/>
      <c r="AM86" s="28"/>
    </row>
    <row r="87" spans="2:39" x14ac:dyDescent="0.2">
      <c r="B87" s="244"/>
      <c r="C87" s="244"/>
      <c r="D87" s="194">
        <v>46419</v>
      </c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6"/>
      <c r="AJ87" s="146" t="s">
        <v>60</v>
      </c>
      <c r="AK87" s="47">
        <f>SUM(AK81+2.5-AM85)</f>
        <v>29</v>
      </c>
      <c r="AL87" s="23"/>
      <c r="AM87" s="24"/>
    </row>
    <row r="88" spans="2:39" x14ac:dyDescent="0.2">
      <c r="B88" s="244"/>
      <c r="C88" s="244"/>
      <c r="D88" s="4">
        <v>1</v>
      </c>
      <c r="E88" s="1">
        <v>2</v>
      </c>
      <c r="F88" s="1">
        <v>3</v>
      </c>
      <c r="G88" s="1">
        <v>4</v>
      </c>
      <c r="H88" s="1">
        <v>5</v>
      </c>
      <c r="I88" s="38">
        <v>6</v>
      </c>
      <c r="J88" s="38">
        <v>7</v>
      </c>
      <c r="K88" s="1">
        <v>8</v>
      </c>
      <c r="L88" s="1">
        <v>9</v>
      </c>
      <c r="M88" s="1">
        <v>10</v>
      </c>
      <c r="N88" s="1">
        <v>11</v>
      </c>
      <c r="O88" s="1">
        <v>12</v>
      </c>
      <c r="P88" s="38">
        <v>13</v>
      </c>
      <c r="Q88" s="38">
        <v>14</v>
      </c>
      <c r="R88" s="1">
        <v>15</v>
      </c>
      <c r="S88" s="1">
        <v>16</v>
      </c>
      <c r="T88" s="1">
        <v>17</v>
      </c>
      <c r="U88" s="1">
        <v>18</v>
      </c>
      <c r="V88" s="1">
        <v>19</v>
      </c>
      <c r="W88" s="38">
        <v>20</v>
      </c>
      <c r="X88" s="38">
        <v>21</v>
      </c>
      <c r="Y88" s="1">
        <v>22</v>
      </c>
      <c r="Z88" s="1">
        <v>23</v>
      </c>
      <c r="AA88" s="62">
        <v>24</v>
      </c>
      <c r="AB88" s="62">
        <v>25</v>
      </c>
      <c r="AC88" s="62">
        <v>26</v>
      </c>
      <c r="AD88" s="103">
        <v>27</v>
      </c>
      <c r="AE88" s="103">
        <v>28</v>
      </c>
      <c r="AF88" s="1"/>
      <c r="AG88" s="1"/>
      <c r="AH88" s="5"/>
      <c r="AK88" s="47"/>
      <c r="AL88" s="23"/>
      <c r="AM88" s="24"/>
    </row>
    <row r="89" spans="2:39" x14ac:dyDescent="0.2">
      <c r="B89" s="244"/>
      <c r="C89" s="244"/>
      <c r="D89" s="376" t="s">
        <v>94</v>
      </c>
      <c r="E89" s="377"/>
      <c r="F89" s="377"/>
      <c r="G89" s="377"/>
      <c r="H89" s="377"/>
      <c r="I89" s="377"/>
      <c r="J89" s="377"/>
      <c r="K89" s="377"/>
      <c r="L89" s="377"/>
      <c r="M89" s="377"/>
      <c r="N89" s="377"/>
      <c r="O89" s="377"/>
      <c r="P89" s="377"/>
      <c r="Q89" s="377"/>
      <c r="R89" s="377"/>
      <c r="S89" s="377"/>
      <c r="T89" s="377"/>
      <c r="U89" s="377"/>
      <c r="V89" s="377"/>
      <c r="W89" s="377"/>
      <c r="X89" s="377"/>
      <c r="Y89" s="377"/>
      <c r="Z89" s="377"/>
      <c r="AA89" s="377"/>
      <c r="AB89" s="377"/>
      <c r="AC89" s="377"/>
      <c r="AD89" s="377"/>
      <c r="AE89" s="378"/>
      <c r="AF89" s="102"/>
      <c r="AG89" s="1"/>
      <c r="AH89" s="5"/>
      <c r="AK89" s="47"/>
      <c r="AL89" s="23"/>
      <c r="AM89" s="24"/>
    </row>
    <row r="90" spans="2:39" ht="15.75" thickBot="1" x14ac:dyDescent="0.25">
      <c r="B90" s="244"/>
      <c r="C90" s="244"/>
      <c r="D90" s="4"/>
      <c r="E90" s="1"/>
      <c r="F90" s="1"/>
      <c r="G90" s="1"/>
      <c r="H90" s="1"/>
      <c r="I90" s="38"/>
      <c r="J90" s="38"/>
      <c r="K90" s="1"/>
      <c r="L90" s="1"/>
      <c r="M90" s="1"/>
      <c r="N90" s="1"/>
      <c r="O90" s="1"/>
      <c r="P90" s="38"/>
      <c r="Q90" s="38"/>
      <c r="R90" s="1"/>
      <c r="S90" s="1"/>
      <c r="T90" s="1"/>
      <c r="U90" s="1"/>
      <c r="V90" s="1"/>
      <c r="W90" s="38"/>
      <c r="X90" s="38"/>
      <c r="Y90" s="1"/>
      <c r="Z90" s="1"/>
      <c r="AA90" s="59"/>
      <c r="AB90" s="59"/>
      <c r="AC90" s="59"/>
      <c r="AD90" s="104"/>
      <c r="AE90" s="104"/>
      <c r="AF90" s="1"/>
      <c r="AG90" s="1"/>
      <c r="AH90" s="5"/>
      <c r="AK90" s="47"/>
      <c r="AL90" s="23"/>
      <c r="AM90" s="27"/>
    </row>
    <row r="91" spans="2:39" ht="15.75" thickBot="1" x14ac:dyDescent="0.25">
      <c r="B91" s="244"/>
      <c r="C91" s="244"/>
      <c r="D91" s="4"/>
      <c r="E91" s="1"/>
      <c r="F91" s="1"/>
      <c r="G91" s="1"/>
      <c r="H91" s="1"/>
      <c r="I91" s="38"/>
      <c r="J91" s="38"/>
      <c r="K91" s="22" t="s">
        <v>9</v>
      </c>
      <c r="L91" s="1"/>
      <c r="M91" s="1"/>
      <c r="N91" s="1"/>
      <c r="O91" s="1"/>
      <c r="P91" s="38"/>
      <c r="Q91" s="38"/>
      <c r="R91" s="141" t="s">
        <v>82</v>
      </c>
      <c r="S91" s="1"/>
      <c r="T91" s="1"/>
      <c r="U91" s="1"/>
      <c r="V91" s="1"/>
      <c r="W91" s="38"/>
      <c r="X91" s="38"/>
      <c r="Y91" s="1"/>
      <c r="Z91" s="1"/>
      <c r="AA91" s="1"/>
      <c r="AB91" s="1"/>
      <c r="AC91" s="1"/>
      <c r="AD91" s="38"/>
      <c r="AE91" s="38"/>
      <c r="AF91" s="1"/>
      <c r="AG91" s="1"/>
      <c r="AH91" s="5"/>
      <c r="AK91" s="47"/>
      <c r="AL91" s="26"/>
      <c r="AM91" s="29">
        <v>28</v>
      </c>
    </row>
    <row r="92" spans="2:39" ht="15.75" thickBot="1" x14ac:dyDescent="0.25">
      <c r="B92" s="244"/>
      <c r="C92" s="24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K92" s="47"/>
      <c r="AL92" s="23"/>
      <c r="AM92" s="28"/>
    </row>
    <row r="93" spans="2:39" x14ac:dyDescent="0.2">
      <c r="B93" s="244"/>
      <c r="C93" s="244"/>
      <c r="D93" s="194">
        <v>46447</v>
      </c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6"/>
      <c r="AJ93" s="146" t="s">
        <v>61</v>
      </c>
      <c r="AK93" s="47">
        <f>SUM(AK87-AM91)</f>
        <v>1</v>
      </c>
      <c r="AL93" s="23"/>
      <c r="AM93" s="24"/>
    </row>
    <row r="94" spans="2:39" x14ac:dyDescent="0.2">
      <c r="B94" s="244"/>
      <c r="C94" s="244"/>
      <c r="D94" s="4">
        <v>1</v>
      </c>
      <c r="E94" s="1">
        <v>2</v>
      </c>
      <c r="F94" s="1">
        <v>3</v>
      </c>
      <c r="G94" s="1">
        <v>4</v>
      </c>
      <c r="H94" s="1">
        <v>5</v>
      </c>
      <c r="I94" s="10">
        <v>6</v>
      </c>
      <c r="J94" s="10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0">
        <v>13</v>
      </c>
      <c r="Q94" s="10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0">
        <v>20</v>
      </c>
      <c r="X94" s="10">
        <v>21</v>
      </c>
      <c r="Y94" s="1">
        <v>22</v>
      </c>
      <c r="Z94" s="1">
        <v>23</v>
      </c>
      <c r="AA94" s="1">
        <v>24</v>
      </c>
      <c r="AB94" s="1">
        <v>25</v>
      </c>
      <c r="AC94" s="1">
        <v>26</v>
      </c>
      <c r="AD94" s="10">
        <v>27</v>
      </c>
      <c r="AE94" s="10">
        <v>28</v>
      </c>
      <c r="AF94" s="1">
        <v>29</v>
      </c>
      <c r="AG94" s="1">
        <v>30</v>
      </c>
      <c r="AH94" s="5">
        <v>31</v>
      </c>
      <c r="AK94" s="47"/>
      <c r="AL94" s="23"/>
      <c r="AM94" s="24"/>
    </row>
    <row r="95" spans="2:39" x14ac:dyDescent="0.2">
      <c r="B95" s="244"/>
      <c r="C95" s="244"/>
      <c r="D95" s="51" t="s">
        <v>30</v>
      </c>
      <c r="E95" s="1"/>
      <c r="F95" s="1"/>
      <c r="G95" s="1"/>
      <c r="H95" s="1"/>
      <c r="I95" s="10"/>
      <c r="J95" s="10"/>
      <c r="K95" s="1"/>
      <c r="L95" s="1"/>
      <c r="M95" s="1"/>
      <c r="N95" s="1"/>
      <c r="O95" s="1"/>
      <c r="P95" s="10"/>
      <c r="Q95" s="10"/>
      <c r="R95" s="1"/>
      <c r="S95" s="1"/>
      <c r="T95" s="1"/>
      <c r="U95" s="1"/>
      <c r="V95" s="1"/>
      <c r="W95" s="10"/>
      <c r="X95" s="10"/>
      <c r="Y95" s="1"/>
      <c r="Z95" s="1"/>
      <c r="AA95" s="1"/>
      <c r="AB95" s="1"/>
      <c r="AC95" s="1"/>
      <c r="AD95" s="10"/>
      <c r="AE95" s="10"/>
      <c r="AF95" s="1"/>
      <c r="AG95" s="1"/>
      <c r="AH95" s="5"/>
      <c r="AK95" s="47"/>
      <c r="AL95" s="23"/>
      <c r="AM95" s="24"/>
    </row>
    <row r="96" spans="2:39" ht="15.75" thickBot="1" x14ac:dyDescent="0.25">
      <c r="B96" s="244"/>
      <c r="C96" s="244"/>
      <c r="D96" s="51"/>
      <c r="E96" s="1"/>
      <c r="F96" s="1"/>
      <c r="G96" s="1"/>
      <c r="H96" s="1"/>
      <c r="I96" s="10"/>
      <c r="J96" s="10"/>
      <c r="K96" s="1"/>
      <c r="L96" s="1"/>
      <c r="M96" s="1"/>
      <c r="N96" s="1"/>
      <c r="O96" s="1"/>
      <c r="P96" s="10"/>
      <c r="Q96" s="10"/>
      <c r="R96" s="1"/>
      <c r="S96" s="1"/>
      <c r="T96" s="1"/>
      <c r="U96" s="1"/>
      <c r="V96" s="1"/>
      <c r="W96" s="10"/>
      <c r="X96" s="10"/>
      <c r="Y96" s="1"/>
      <c r="Z96" s="1"/>
      <c r="AA96" s="1"/>
      <c r="AB96" s="1"/>
      <c r="AC96" s="1"/>
      <c r="AD96" s="10"/>
      <c r="AE96" s="10"/>
      <c r="AF96" s="1"/>
      <c r="AG96" s="1"/>
      <c r="AH96" s="5"/>
      <c r="AK96" s="47"/>
      <c r="AL96" s="23"/>
      <c r="AM96" s="27"/>
    </row>
    <row r="97" spans="2:39" ht="15.75" thickBot="1" x14ac:dyDescent="0.25">
      <c r="B97" s="244"/>
      <c r="C97" s="244"/>
      <c r="D97" s="51"/>
      <c r="E97" s="1"/>
      <c r="F97" s="1"/>
      <c r="G97" s="1"/>
      <c r="H97" s="1"/>
      <c r="I97" s="10"/>
      <c r="J97" s="10"/>
      <c r="K97" s="1"/>
      <c r="L97" s="1"/>
      <c r="M97" s="1"/>
      <c r="N97" s="1"/>
      <c r="O97" s="1"/>
      <c r="P97" s="10"/>
      <c r="Q97" s="10"/>
      <c r="R97" s="1"/>
      <c r="S97" s="1"/>
      <c r="T97" s="1"/>
      <c r="U97" s="1"/>
      <c r="V97" s="1"/>
      <c r="W97" s="10"/>
      <c r="X97" s="10"/>
      <c r="Y97" s="1"/>
      <c r="Z97" s="1"/>
      <c r="AA97" s="1"/>
      <c r="AB97" s="1"/>
      <c r="AC97" s="1"/>
      <c r="AD97" s="10"/>
      <c r="AE97" s="10"/>
      <c r="AF97" s="1"/>
      <c r="AG97" s="1"/>
      <c r="AH97" s="5"/>
      <c r="AK97" s="47"/>
      <c r="AL97" s="26"/>
      <c r="AM97" s="29">
        <v>0</v>
      </c>
    </row>
    <row r="98" spans="2:39" ht="35.25" thickBot="1" x14ac:dyDescent="0.55000000000000004">
      <c r="B98" s="244"/>
      <c r="C98" s="244"/>
      <c r="AI98" s="53">
        <f>AK117</f>
        <v>1</v>
      </c>
      <c r="AK98" s="47"/>
      <c r="AL98" s="23"/>
      <c r="AM98" s="28"/>
    </row>
    <row r="99" spans="2:39" x14ac:dyDescent="0.2">
      <c r="B99" s="244"/>
      <c r="C99" s="244"/>
      <c r="D99" s="194">
        <v>46478</v>
      </c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6"/>
      <c r="AJ99" s="146" t="s">
        <v>62</v>
      </c>
      <c r="AK99" s="47">
        <f>SUM(AK93-AM97)</f>
        <v>1</v>
      </c>
      <c r="AL99" s="23"/>
      <c r="AM99" s="24"/>
    </row>
    <row r="100" spans="2:39" x14ac:dyDescent="0.2">
      <c r="B100" s="244"/>
      <c r="C100" s="244"/>
      <c r="D100" s="61">
        <v>1</v>
      </c>
      <c r="E100" s="62">
        <v>2</v>
      </c>
      <c r="F100" s="63">
        <v>3</v>
      </c>
      <c r="G100" s="63">
        <v>4</v>
      </c>
      <c r="H100" s="62">
        <v>5</v>
      </c>
      <c r="I100" s="62">
        <v>6</v>
      </c>
      <c r="J100" s="62">
        <v>7</v>
      </c>
      <c r="K100" s="62">
        <v>8</v>
      </c>
      <c r="L100" s="62">
        <v>9</v>
      </c>
      <c r="M100" s="63">
        <v>10</v>
      </c>
      <c r="N100" s="63">
        <v>11</v>
      </c>
      <c r="O100" s="62">
        <v>12</v>
      </c>
      <c r="P100" s="62">
        <v>13</v>
      </c>
      <c r="Q100" s="62">
        <v>14</v>
      </c>
      <c r="R100" s="62">
        <v>15</v>
      </c>
      <c r="S100" s="62">
        <v>16</v>
      </c>
      <c r="T100" s="63">
        <v>17</v>
      </c>
      <c r="U100" s="63">
        <v>18</v>
      </c>
      <c r="V100" s="62">
        <v>19</v>
      </c>
      <c r="W100" s="62">
        <v>20</v>
      </c>
      <c r="X100" s="62">
        <v>21</v>
      </c>
      <c r="Y100" s="62">
        <v>22</v>
      </c>
      <c r="Z100" s="62">
        <v>23</v>
      </c>
      <c r="AA100" s="63">
        <v>24</v>
      </c>
      <c r="AB100" s="63">
        <v>25</v>
      </c>
      <c r="AC100" s="62">
        <v>26</v>
      </c>
      <c r="AD100" s="62">
        <v>27</v>
      </c>
      <c r="AE100" s="62">
        <v>28</v>
      </c>
      <c r="AF100" s="62">
        <v>29</v>
      </c>
      <c r="AG100" s="62">
        <v>30</v>
      </c>
      <c r="AH100" s="5"/>
      <c r="AK100" s="47"/>
      <c r="AL100" s="23"/>
      <c r="AM100" s="24"/>
    </row>
    <row r="101" spans="2:39" ht="15.75" thickBot="1" x14ac:dyDescent="0.25">
      <c r="B101" s="244"/>
      <c r="C101" s="244"/>
      <c r="D101" s="52"/>
      <c r="E101" s="59"/>
      <c r="F101" s="60"/>
      <c r="G101" s="60"/>
      <c r="H101" s="59"/>
      <c r="I101" s="59"/>
      <c r="J101" s="59"/>
      <c r="K101" s="59"/>
      <c r="L101" s="59"/>
      <c r="M101" s="60"/>
      <c r="N101" s="60"/>
      <c r="O101" s="59"/>
      <c r="P101" s="59"/>
      <c r="Q101" s="59"/>
      <c r="R101" s="59"/>
      <c r="S101" s="59"/>
      <c r="T101" s="60"/>
      <c r="U101" s="60"/>
      <c r="V101" s="59"/>
      <c r="W101" s="59"/>
      <c r="X101" s="59"/>
      <c r="Y101" s="59"/>
      <c r="Z101" s="59"/>
      <c r="AA101" s="60"/>
      <c r="AB101" s="60"/>
      <c r="AC101" s="59"/>
      <c r="AD101" s="59"/>
      <c r="AE101" s="59"/>
      <c r="AF101" s="59"/>
      <c r="AG101" s="59"/>
      <c r="AH101" s="65"/>
      <c r="AK101" s="47"/>
      <c r="AL101" s="23"/>
      <c r="AM101" s="24"/>
    </row>
    <row r="102" spans="2:39" ht="15.75" thickBot="1" x14ac:dyDescent="0.25">
      <c r="B102" s="244"/>
      <c r="C102" s="244"/>
      <c r="D102" s="52"/>
      <c r="E102" s="59"/>
      <c r="F102" s="60"/>
      <c r="G102" s="60"/>
      <c r="H102" s="59"/>
      <c r="I102" s="59"/>
      <c r="J102" s="59"/>
      <c r="K102" s="59"/>
      <c r="L102" s="59"/>
      <c r="M102" s="60"/>
      <c r="N102" s="60"/>
      <c r="O102" s="59"/>
      <c r="P102" s="59"/>
      <c r="Q102" s="59"/>
      <c r="R102" s="59"/>
      <c r="S102" s="59"/>
      <c r="T102" s="60"/>
      <c r="U102" s="60"/>
      <c r="V102" s="59"/>
      <c r="W102" s="59"/>
      <c r="X102" s="59"/>
      <c r="Y102" s="59"/>
      <c r="Z102" s="59"/>
      <c r="AA102" s="60"/>
      <c r="AB102" s="60"/>
      <c r="AC102" s="59"/>
      <c r="AD102" s="59"/>
      <c r="AE102" s="59"/>
      <c r="AF102" s="59"/>
      <c r="AG102" s="59"/>
      <c r="AH102" s="5"/>
      <c r="AK102" s="47"/>
      <c r="AL102" s="23"/>
      <c r="AM102" s="27"/>
    </row>
    <row r="103" spans="2:39" ht="15.75" thickBot="1" x14ac:dyDescent="0.25">
      <c r="B103" s="244"/>
      <c r="C103" s="244"/>
      <c r="D103" s="52"/>
      <c r="E103" s="1"/>
      <c r="F103" s="10"/>
      <c r="G103" s="10"/>
      <c r="H103" s="1"/>
      <c r="I103" s="1"/>
      <c r="J103" s="1"/>
      <c r="K103" s="1"/>
      <c r="L103" s="1"/>
      <c r="M103" s="10"/>
      <c r="N103" s="10"/>
      <c r="O103" s="1"/>
      <c r="P103" s="1"/>
      <c r="Q103" s="1"/>
      <c r="R103" s="1"/>
      <c r="S103" s="1"/>
      <c r="T103" s="10"/>
      <c r="U103" s="10"/>
      <c r="V103" s="1"/>
      <c r="W103" s="1"/>
      <c r="X103" s="1"/>
      <c r="Y103" s="1"/>
      <c r="Z103" s="1"/>
      <c r="AA103" s="10"/>
      <c r="AB103" s="10"/>
      <c r="AC103" s="1"/>
      <c r="AD103" s="1"/>
      <c r="AE103" s="1"/>
      <c r="AF103" s="1"/>
      <c r="AG103" s="1"/>
      <c r="AH103" s="5"/>
      <c r="AK103" s="47"/>
      <c r="AL103" s="26"/>
      <c r="AM103" s="29">
        <v>0</v>
      </c>
    </row>
    <row r="104" spans="2:39" ht="15.75" thickBot="1" x14ac:dyDescent="0.25">
      <c r="B104" s="244"/>
      <c r="C104" s="244"/>
      <c r="AK104" s="47"/>
      <c r="AL104" s="23"/>
      <c r="AM104" s="28"/>
    </row>
    <row r="105" spans="2:39" x14ac:dyDescent="0.2">
      <c r="B105" s="244"/>
      <c r="C105" s="244"/>
      <c r="D105" s="194">
        <v>46508</v>
      </c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6"/>
      <c r="AJ105" s="146" t="s">
        <v>51</v>
      </c>
      <c r="AK105" s="47">
        <f>SUM(AK99-AM103)</f>
        <v>1</v>
      </c>
      <c r="AL105" s="23"/>
      <c r="AM105" s="24"/>
    </row>
    <row r="106" spans="2:39" x14ac:dyDescent="0.2">
      <c r="B106" s="244"/>
      <c r="C106" s="244"/>
      <c r="D106" s="12">
        <v>1</v>
      </c>
      <c r="E106" s="10">
        <v>2</v>
      </c>
      <c r="F106" s="1">
        <v>3</v>
      </c>
      <c r="G106" s="1">
        <v>4</v>
      </c>
      <c r="H106" s="1">
        <v>5</v>
      </c>
      <c r="I106" s="1">
        <v>6</v>
      </c>
      <c r="J106" s="1">
        <v>7</v>
      </c>
      <c r="K106" s="10">
        <v>8</v>
      </c>
      <c r="L106" s="10">
        <v>9</v>
      </c>
      <c r="M106" s="1">
        <v>10</v>
      </c>
      <c r="N106" s="1">
        <v>11</v>
      </c>
      <c r="O106" s="1">
        <v>12</v>
      </c>
      <c r="P106" s="1">
        <v>13</v>
      </c>
      <c r="Q106" s="1">
        <v>14</v>
      </c>
      <c r="R106" s="10">
        <v>15</v>
      </c>
      <c r="S106" s="10">
        <v>16</v>
      </c>
      <c r="T106" s="1">
        <v>17</v>
      </c>
      <c r="U106" s="1">
        <v>18</v>
      </c>
      <c r="V106" s="1">
        <v>19</v>
      </c>
      <c r="W106" s="1">
        <v>20</v>
      </c>
      <c r="X106" s="1">
        <v>21</v>
      </c>
      <c r="Y106" s="10">
        <v>22</v>
      </c>
      <c r="Z106" s="10">
        <v>23</v>
      </c>
      <c r="AA106" s="1">
        <v>24</v>
      </c>
      <c r="AB106" s="1">
        <v>25</v>
      </c>
      <c r="AC106" s="1">
        <v>26</v>
      </c>
      <c r="AD106" s="1">
        <v>27</v>
      </c>
      <c r="AE106" s="1">
        <v>28</v>
      </c>
      <c r="AF106" s="10">
        <v>29</v>
      </c>
      <c r="AG106" s="10">
        <v>30</v>
      </c>
      <c r="AH106" s="5">
        <v>31</v>
      </c>
      <c r="AK106" s="47"/>
      <c r="AL106" s="23"/>
      <c r="AM106" s="24"/>
    </row>
    <row r="107" spans="2:39" x14ac:dyDescent="0.2">
      <c r="B107" s="244"/>
      <c r="C107" s="244"/>
      <c r="D107" s="10"/>
      <c r="E107" s="10"/>
      <c r="F107" s="1"/>
      <c r="G107" s="1"/>
      <c r="H107" s="1"/>
      <c r="I107" s="1"/>
      <c r="J107" s="1"/>
      <c r="K107" s="10"/>
      <c r="L107" s="10"/>
      <c r="M107" s="1"/>
      <c r="N107" s="1"/>
      <c r="O107" s="1"/>
      <c r="P107" s="1"/>
      <c r="Q107" s="1"/>
      <c r="R107" s="10"/>
      <c r="S107" s="10"/>
      <c r="T107" s="1"/>
      <c r="U107" s="1"/>
      <c r="V107" s="1"/>
      <c r="W107" s="1"/>
      <c r="X107" s="1"/>
      <c r="Y107" s="10"/>
      <c r="Z107" s="10"/>
      <c r="AA107" s="1"/>
      <c r="AB107" s="1"/>
      <c r="AC107" s="1"/>
      <c r="AD107" s="1"/>
      <c r="AE107" s="1"/>
      <c r="AF107" s="10"/>
      <c r="AG107" s="10"/>
      <c r="AH107" s="5"/>
      <c r="AK107" s="47"/>
      <c r="AL107" s="23"/>
      <c r="AM107" s="24"/>
    </row>
    <row r="108" spans="2:39" ht="15.75" thickBot="1" x14ac:dyDescent="0.25">
      <c r="B108" s="244"/>
      <c r="C108" s="244"/>
      <c r="D108" s="10"/>
      <c r="E108" s="10"/>
      <c r="F108" s="1"/>
      <c r="G108" s="1"/>
      <c r="H108" s="1"/>
      <c r="I108" s="1"/>
      <c r="J108" s="1"/>
      <c r="K108" s="10"/>
      <c r="L108" s="10"/>
      <c r="M108" s="1"/>
      <c r="N108" s="1"/>
      <c r="O108" s="1"/>
      <c r="P108" s="1"/>
      <c r="Q108" s="1"/>
      <c r="R108" s="10"/>
      <c r="S108" s="10"/>
      <c r="T108" s="1"/>
      <c r="U108" s="1"/>
      <c r="V108" s="1"/>
      <c r="W108" s="1"/>
      <c r="X108" s="1"/>
      <c r="Y108" s="10"/>
      <c r="Z108" s="10"/>
      <c r="AA108" s="1"/>
      <c r="AB108" s="1"/>
      <c r="AC108" s="1"/>
      <c r="AD108" s="1"/>
      <c r="AE108" s="1"/>
      <c r="AF108" s="10"/>
      <c r="AG108" s="10"/>
      <c r="AH108" s="5"/>
      <c r="AK108" s="47"/>
      <c r="AL108" s="23"/>
      <c r="AM108" s="27"/>
    </row>
    <row r="109" spans="2:39" ht="15.75" thickBot="1" x14ac:dyDescent="0.25">
      <c r="B109" s="244"/>
      <c r="C109" s="244"/>
      <c r="D109" s="10"/>
      <c r="E109" s="10"/>
      <c r="F109" s="1"/>
      <c r="G109" s="1"/>
      <c r="H109" s="1"/>
      <c r="I109" s="1"/>
      <c r="J109" s="1"/>
      <c r="K109" s="10"/>
      <c r="L109" s="10"/>
      <c r="M109" s="1"/>
      <c r="N109" s="1"/>
      <c r="O109" s="1"/>
      <c r="P109" s="1"/>
      <c r="Q109" s="1"/>
      <c r="R109" s="10"/>
      <c r="S109" s="10"/>
      <c r="T109" s="1"/>
      <c r="U109" s="1"/>
      <c r="V109" s="1"/>
      <c r="W109" s="1"/>
      <c r="X109" s="1"/>
      <c r="Y109" s="10"/>
      <c r="Z109" s="10"/>
      <c r="AA109" s="1"/>
      <c r="AB109" s="1"/>
      <c r="AC109" s="1"/>
      <c r="AD109" s="1"/>
      <c r="AE109" s="1"/>
      <c r="AF109" s="10"/>
      <c r="AG109" s="10"/>
      <c r="AH109" s="5"/>
      <c r="AK109" s="47"/>
      <c r="AL109" s="26"/>
      <c r="AM109" s="29">
        <v>0</v>
      </c>
    </row>
    <row r="110" spans="2:39" ht="15.75" thickBot="1" x14ac:dyDescent="0.25">
      <c r="B110" s="244"/>
      <c r="C110" s="244"/>
      <c r="AK110" s="47"/>
      <c r="AL110" s="23"/>
      <c r="AM110" s="28"/>
    </row>
    <row r="111" spans="2:39" x14ac:dyDescent="0.2">
      <c r="B111" s="244"/>
      <c r="C111" s="244"/>
      <c r="D111" s="194">
        <v>46539</v>
      </c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6"/>
      <c r="AJ111" s="146" t="s">
        <v>52</v>
      </c>
      <c r="AK111" s="47">
        <f>SUM(AK105-AM109)</f>
        <v>1</v>
      </c>
      <c r="AL111" s="23"/>
      <c r="AM111" s="24"/>
    </row>
    <row r="112" spans="2:39" x14ac:dyDescent="0.2">
      <c r="B112" s="244"/>
      <c r="C112" s="244"/>
      <c r="D112" s="4">
        <v>1</v>
      </c>
      <c r="E112" s="1">
        <v>2</v>
      </c>
      <c r="F112" s="1">
        <v>3</v>
      </c>
      <c r="G112" s="1">
        <v>4</v>
      </c>
      <c r="H112" s="10">
        <v>5</v>
      </c>
      <c r="I112" s="10">
        <v>6</v>
      </c>
      <c r="J112" s="1">
        <v>7</v>
      </c>
      <c r="K112" s="1">
        <v>8</v>
      </c>
      <c r="L112" s="1">
        <v>9</v>
      </c>
      <c r="M112" s="1">
        <v>10</v>
      </c>
      <c r="N112" s="1">
        <v>11</v>
      </c>
      <c r="O112" s="10">
        <v>12</v>
      </c>
      <c r="P112" s="10">
        <v>13</v>
      </c>
      <c r="Q112" s="1">
        <v>14</v>
      </c>
      <c r="R112" s="1">
        <v>15</v>
      </c>
      <c r="S112" s="1">
        <v>16</v>
      </c>
      <c r="T112" s="1">
        <v>17</v>
      </c>
      <c r="U112" s="1">
        <v>18</v>
      </c>
      <c r="V112" s="10">
        <v>19</v>
      </c>
      <c r="W112" s="10">
        <v>20</v>
      </c>
      <c r="X112" s="1">
        <v>21</v>
      </c>
      <c r="Y112" s="1">
        <v>22</v>
      </c>
      <c r="Z112" s="1">
        <v>23</v>
      </c>
      <c r="AA112" s="1">
        <v>24</v>
      </c>
      <c r="AB112" s="1">
        <v>25</v>
      </c>
      <c r="AC112" s="10">
        <v>26</v>
      </c>
      <c r="AD112" s="10">
        <v>27</v>
      </c>
      <c r="AE112" s="1">
        <v>28</v>
      </c>
      <c r="AF112" s="1">
        <v>29</v>
      </c>
      <c r="AG112" s="1">
        <v>30</v>
      </c>
      <c r="AH112" s="5"/>
      <c r="AK112" s="47"/>
      <c r="AL112" s="23"/>
      <c r="AM112" s="24"/>
    </row>
    <row r="113" spans="2:39" x14ac:dyDescent="0.2">
      <c r="B113" s="244"/>
      <c r="C113" s="244"/>
      <c r="D113" s="52"/>
      <c r="E113" s="1"/>
      <c r="F113" s="1"/>
      <c r="G113" s="1"/>
      <c r="H113" s="10"/>
      <c r="I113" s="10"/>
      <c r="J113" s="1"/>
      <c r="K113" s="1"/>
      <c r="L113" s="1"/>
      <c r="M113" s="1"/>
      <c r="N113" s="1"/>
      <c r="O113" s="10"/>
      <c r="P113" s="10"/>
      <c r="Q113" s="1"/>
      <c r="R113" s="1"/>
      <c r="S113" s="1"/>
      <c r="T113" s="1"/>
      <c r="U113" s="1"/>
      <c r="V113" s="10"/>
      <c r="W113" s="10"/>
      <c r="X113" s="1"/>
      <c r="Y113" s="1"/>
      <c r="Z113" s="1"/>
      <c r="AA113" s="1"/>
      <c r="AB113" s="1"/>
      <c r="AC113" s="10"/>
      <c r="AD113" s="10"/>
      <c r="AE113" s="1"/>
      <c r="AF113" s="1"/>
      <c r="AG113" s="1"/>
      <c r="AH113" s="5"/>
      <c r="AK113" s="47"/>
      <c r="AL113" s="23"/>
      <c r="AM113" s="24"/>
    </row>
    <row r="114" spans="2:39" ht="15.75" thickBot="1" x14ac:dyDescent="0.25">
      <c r="B114" s="244"/>
      <c r="C114" s="244"/>
      <c r="D114" s="52"/>
      <c r="E114" s="1"/>
      <c r="F114" s="1"/>
      <c r="G114" s="1"/>
      <c r="H114" s="10"/>
      <c r="I114" s="10"/>
      <c r="J114" s="1"/>
      <c r="K114" s="1"/>
      <c r="L114" s="1"/>
      <c r="M114" s="1"/>
      <c r="N114" s="1"/>
      <c r="O114" s="10"/>
      <c r="P114" s="10"/>
      <c r="Q114" s="1"/>
      <c r="R114" s="1"/>
      <c r="S114" s="1"/>
      <c r="T114" s="1"/>
      <c r="U114" s="1"/>
      <c r="V114" s="10"/>
      <c r="W114" s="10"/>
      <c r="X114" s="1"/>
      <c r="Y114" s="1"/>
      <c r="Z114" s="1"/>
      <c r="AA114" s="1"/>
      <c r="AB114" s="1"/>
      <c r="AC114" s="10"/>
      <c r="AD114" s="10"/>
      <c r="AE114" s="1"/>
      <c r="AF114" s="1"/>
      <c r="AG114" s="1"/>
      <c r="AH114" s="5"/>
      <c r="AK114" s="47"/>
      <c r="AL114" s="23"/>
      <c r="AM114" s="27"/>
    </row>
    <row r="115" spans="2:39" ht="15.75" thickBot="1" x14ac:dyDescent="0.25">
      <c r="B115" s="244"/>
      <c r="C115" s="244"/>
      <c r="D115" s="52"/>
      <c r="E115" s="1"/>
      <c r="F115" s="1"/>
      <c r="G115" s="1"/>
      <c r="H115" s="10"/>
      <c r="I115" s="10"/>
      <c r="J115" s="1"/>
      <c r="K115" s="1"/>
      <c r="L115" s="1"/>
      <c r="M115" s="1"/>
      <c r="N115" s="1"/>
      <c r="O115" s="10"/>
      <c r="P115" s="10"/>
      <c r="Q115" s="1"/>
      <c r="R115" s="1"/>
      <c r="S115" s="1"/>
      <c r="T115" s="1"/>
      <c r="U115" s="1"/>
      <c r="V115" s="10"/>
      <c r="W115" s="10"/>
      <c r="X115" s="1"/>
      <c r="Y115" s="1"/>
      <c r="Z115" s="1"/>
      <c r="AA115" s="1"/>
      <c r="AB115" s="1"/>
      <c r="AC115" s="10"/>
      <c r="AD115" s="10"/>
      <c r="AE115" s="1"/>
      <c r="AF115" s="1"/>
      <c r="AG115" s="1"/>
      <c r="AH115" s="5"/>
      <c r="AK115" s="48"/>
      <c r="AL115" s="26"/>
      <c r="AM115" s="29">
        <v>0</v>
      </c>
    </row>
    <row r="116" spans="2:39" ht="35.25" thickBot="1" x14ac:dyDescent="0.55000000000000004">
      <c r="AI116" s="55"/>
      <c r="AJ116" s="55"/>
      <c r="AK116" s="54" t="s">
        <v>11</v>
      </c>
      <c r="AL116" s="148"/>
      <c r="AM116" s="28"/>
    </row>
    <row r="117" spans="2:39" ht="35.25" thickBot="1" x14ac:dyDescent="0.55000000000000004">
      <c r="D117" s="194">
        <v>46569</v>
      </c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6"/>
      <c r="AI117" s="55"/>
      <c r="AJ117" s="55" t="s">
        <v>53</v>
      </c>
      <c r="AK117" s="53">
        <f>SUM(AK111-AM115)</f>
        <v>1</v>
      </c>
      <c r="AL117" s="148"/>
      <c r="AM117" s="24"/>
    </row>
    <row r="118" spans="2:39" x14ac:dyDescent="0.2">
      <c r="D118" s="16">
        <v>1</v>
      </c>
      <c r="E118" s="1">
        <v>2</v>
      </c>
      <c r="F118" s="10">
        <v>3</v>
      </c>
      <c r="G118" s="10">
        <v>4</v>
      </c>
      <c r="H118" s="1">
        <v>5</v>
      </c>
      <c r="I118" s="1">
        <v>6</v>
      </c>
      <c r="J118" s="1">
        <v>7</v>
      </c>
      <c r="K118" s="1">
        <v>8</v>
      </c>
      <c r="L118" s="1">
        <v>9</v>
      </c>
      <c r="M118" s="10">
        <v>10</v>
      </c>
      <c r="N118" s="10">
        <v>11</v>
      </c>
      <c r="O118" s="1">
        <v>12</v>
      </c>
      <c r="P118" s="1">
        <v>13</v>
      </c>
      <c r="Q118" s="1">
        <v>14</v>
      </c>
      <c r="R118" s="1">
        <v>15</v>
      </c>
      <c r="S118" s="1">
        <v>16</v>
      </c>
      <c r="T118" s="10">
        <v>17</v>
      </c>
      <c r="U118" s="10">
        <v>18</v>
      </c>
      <c r="V118" s="1">
        <v>19</v>
      </c>
      <c r="W118" s="1">
        <v>20</v>
      </c>
      <c r="X118" s="1">
        <v>21</v>
      </c>
      <c r="Y118" s="1">
        <v>22</v>
      </c>
      <c r="Z118" s="1">
        <v>23</v>
      </c>
      <c r="AA118" s="10">
        <v>24</v>
      </c>
      <c r="AB118" s="10">
        <v>25</v>
      </c>
      <c r="AC118" s="1">
        <v>26</v>
      </c>
      <c r="AD118" s="1">
        <v>27</v>
      </c>
      <c r="AE118" s="1">
        <v>28</v>
      </c>
      <c r="AF118" s="1">
        <v>29</v>
      </c>
      <c r="AG118" s="1">
        <v>30</v>
      </c>
      <c r="AH118" s="14">
        <v>31</v>
      </c>
      <c r="AK118" s="49"/>
      <c r="AL118" s="23"/>
      <c r="AM118" s="24"/>
    </row>
    <row r="119" spans="2:39" x14ac:dyDescent="0.2">
      <c r="D119" s="20" t="s">
        <v>1</v>
      </c>
      <c r="E119" s="1"/>
      <c r="F119" s="10"/>
      <c r="G119" s="10"/>
      <c r="H119" s="1"/>
      <c r="I119" s="1"/>
      <c r="J119" s="1"/>
      <c r="K119" s="1"/>
      <c r="L119" s="1"/>
      <c r="M119" s="10"/>
      <c r="N119" s="10"/>
      <c r="O119" s="1"/>
      <c r="P119" s="1"/>
      <c r="Q119" s="1"/>
      <c r="R119" s="1"/>
      <c r="S119" s="1"/>
      <c r="T119" s="10"/>
      <c r="U119" s="10"/>
      <c r="V119" s="1"/>
      <c r="W119" s="1"/>
      <c r="X119" s="1"/>
      <c r="Y119" s="1"/>
      <c r="Z119" s="1"/>
      <c r="AA119" s="10"/>
      <c r="AB119" s="10"/>
      <c r="AC119" s="1"/>
      <c r="AD119" s="1"/>
      <c r="AE119" s="1"/>
      <c r="AF119" s="1"/>
      <c r="AG119" s="1"/>
      <c r="AH119" s="14"/>
      <c r="AK119" s="47"/>
      <c r="AL119" s="23"/>
      <c r="AM119" s="24"/>
    </row>
    <row r="120" spans="2:39" x14ac:dyDescent="0.2">
      <c r="D120" s="16"/>
      <c r="E120" s="1"/>
      <c r="F120" s="10"/>
      <c r="G120" s="10"/>
      <c r="H120" s="1"/>
      <c r="I120" s="1"/>
      <c r="J120" s="1"/>
      <c r="K120" s="1"/>
      <c r="L120" s="1"/>
      <c r="M120" s="10"/>
      <c r="N120" s="10"/>
      <c r="O120" s="1"/>
      <c r="P120" s="1"/>
      <c r="Q120" s="1"/>
      <c r="R120" s="1"/>
      <c r="S120" s="1"/>
      <c r="T120" s="10"/>
      <c r="U120" s="10"/>
      <c r="V120" s="1"/>
      <c r="W120" s="1"/>
      <c r="X120" s="1"/>
      <c r="Y120" s="1"/>
      <c r="Z120" s="1"/>
      <c r="AA120" s="10"/>
      <c r="AB120" s="10"/>
      <c r="AC120" s="1"/>
      <c r="AD120" s="1"/>
      <c r="AE120" s="1"/>
      <c r="AF120" s="1"/>
      <c r="AG120" s="1"/>
      <c r="AH120" s="14"/>
      <c r="AK120" s="47"/>
      <c r="AL120" s="23"/>
      <c r="AM120" s="24"/>
    </row>
    <row r="121" spans="2:39" ht="15.75" thickBot="1" x14ac:dyDescent="0.25">
      <c r="D121" s="17"/>
      <c r="E121" s="7"/>
      <c r="F121" s="11"/>
      <c r="G121" s="11"/>
      <c r="H121" s="7"/>
      <c r="I121" s="7"/>
      <c r="J121" s="7"/>
      <c r="K121" s="7"/>
      <c r="L121" s="7"/>
      <c r="M121" s="11"/>
      <c r="N121" s="11"/>
      <c r="O121" s="7"/>
      <c r="P121" s="7"/>
      <c r="Q121" s="7"/>
      <c r="R121" s="7"/>
      <c r="S121" s="7"/>
      <c r="T121" s="11"/>
      <c r="U121" s="11"/>
      <c r="V121" s="7"/>
      <c r="W121" s="7"/>
      <c r="X121" s="7"/>
      <c r="Y121" s="7"/>
      <c r="Z121" s="7"/>
      <c r="AA121" s="11"/>
      <c r="AB121" s="11"/>
      <c r="AC121" s="7"/>
      <c r="AD121" s="7"/>
      <c r="AE121" s="7"/>
      <c r="AF121" s="7"/>
      <c r="AG121" s="7"/>
      <c r="AH121" s="15"/>
      <c r="AK121" s="47"/>
      <c r="AL121" s="23"/>
      <c r="AM121" s="24"/>
    </row>
    <row r="132" spans="4:4" x14ac:dyDescent="0.2">
      <c r="D132" t="s">
        <v>20</v>
      </c>
    </row>
    <row r="133" spans="4:4" x14ac:dyDescent="0.2">
      <c r="D133" t="s">
        <v>21</v>
      </c>
    </row>
    <row r="134" spans="4:4" x14ac:dyDescent="0.2">
      <c r="D134" t="s">
        <v>22</v>
      </c>
    </row>
    <row r="135" spans="4:4" x14ac:dyDescent="0.2">
      <c r="D135" t="s">
        <v>23</v>
      </c>
    </row>
    <row r="136" spans="4:4" x14ac:dyDescent="0.2">
      <c r="D136" t="s">
        <v>24</v>
      </c>
    </row>
    <row r="137" spans="4:4" x14ac:dyDescent="0.2">
      <c r="D137" t="s">
        <v>25</v>
      </c>
    </row>
    <row r="138" spans="4:4" x14ac:dyDescent="0.2">
      <c r="D138" t="s">
        <v>26</v>
      </c>
    </row>
    <row r="139" spans="4:4" x14ac:dyDescent="0.2">
      <c r="D139" t="s">
        <v>27</v>
      </c>
    </row>
    <row r="140" spans="4:4" x14ac:dyDescent="0.2">
      <c r="D140" s="86" t="s">
        <v>28</v>
      </c>
    </row>
  </sheetData>
  <mergeCells count="67">
    <mergeCell ref="BL64:CP64"/>
    <mergeCell ref="D111:AH111"/>
    <mergeCell ref="D117:AH117"/>
    <mergeCell ref="D83:AH83"/>
    <mergeCell ref="E71:AG71"/>
    <mergeCell ref="E65:AH65"/>
    <mergeCell ref="D87:AH87"/>
    <mergeCell ref="D89:AE89"/>
    <mergeCell ref="D93:AH93"/>
    <mergeCell ref="D99:AH99"/>
    <mergeCell ref="D105:AH105"/>
    <mergeCell ref="D75:AH75"/>
    <mergeCell ref="D77:AH77"/>
    <mergeCell ref="J78:L78"/>
    <mergeCell ref="M78:N78"/>
    <mergeCell ref="D81:AH81"/>
    <mergeCell ref="D63:AH63"/>
    <mergeCell ref="O72:P72"/>
    <mergeCell ref="S72:U72"/>
    <mergeCell ref="V72:W72"/>
    <mergeCell ref="AC73:AD73"/>
    <mergeCell ref="D69:AH69"/>
    <mergeCell ref="D57:AH57"/>
    <mergeCell ref="D59:U59"/>
    <mergeCell ref="V59:AG59"/>
    <mergeCell ref="Q60:S60"/>
    <mergeCell ref="T60:U60"/>
    <mergeCell ref="D33:AH33"/>
    <mergeCell ref="D35:AH35"/>
    <mergeCell ref="D39:AH39"/>
    <mergeCell ref="D41:H41"/>
    <mergeCell ref="I41:AG41"/>
    <mergeCell ref="B45:C115"/>
    <mergeCell ref="D45:AH45"/>
    <mergeCell ref="D47:AH47"/>
    <mergeCell ref="P48:R48"/>
    <mergeCell ref="S48:T48"/>
    <mergeCell ref="P54:Q54"/>
    <mergeCell ref="T54:V54"/>
    <mergeCell ref="W54:X54"/>
    <mergeCell ref="W48:X48"/>
    <mergeCell ref="AG48:AH48"/>
    <mergeCell ref="D51:AH51"/>
    <mergeCell ref="D53:Z53"/>
    <mergeCell ref="AA53:AH53"/>
    <mergeCell ref="H66:I66"/>
    <mergeCell ref="V66:X66"/>
    <mergeCell ref="Y66:Z66"/>
    <mergeCell ref="D29:F29"/>
    <mergeCell ref="G29:AG29"/>
    <mergeCell ref="D15:AH15"/>
    <mergeCell ref="E17:M17"/>
    <mergeCell ref="N17:AE17"/>
    <mergeCell ref="Y18:AE18"/>
    <mergeCell ref="D21:AH21"/>
    <mergeCell ref="D23:AH23"/>
    <mergeCell ref="D24:K24"/>
    <mergeCell ref="L24:W24"/>
    <mergeCell ref="Z24:AB24"/>
    <mergeCell ref="AC24:AE24"/>
    <mergeCell ref="D27:AH27"/>
    <mergeCell ref="P13:R13"/>
    <mergeCell ref="D1:AH1"/>
    <mergeCell ref="D4:AH4"/>
    <mergeCell ref="D8:AH8"/>
    <mergeCell ref="D11:AA11"/>
    <mergeCell ref="AB11:AH11"/>
  </mergeCells>
  <pageMargins left="0.7" right="0.7" top="0.75" bottom="0.75" header="0.3" footer="0.3"/>
  <pageSetup scale="10" orientation="portrait" r:id="rId1"/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No ETP_USFJ 30 DAYS</vt:lpstr>
      <vt:lpstr>NO ETP 1Jun27 (59 days SB)</vt:lpstr>
      <vt:lpstr>ETP 1May27 (117 days SB)</vt:lpstr>
      <vt:lpstr>NO ETP NO USFJ 1JuL27 (60 days)</vt:lpstr>
      <vt:lpstr>NO ETP 61DAYS USFJ 1JuL27</vt:lpstr>
      <vt:lpstr>133 days ETP USFJ 1JuL27</vt:lpstr>
      <vt:lpstr>No ETP_USFJ 1May27</vt:lpstr>
      <vt:lpstr>Sheet7</vt:lpstr>
      <vt:lpstr>Sheet8</vt:lpstr>
      <vt:lpstr>Sheet9</vt:lpstr>
      <vt:lpstr>Sheet10</vt:lpstr>
      <vt:lpstr>Sheet11</vt:lpstr>
      <vt:lpstr>120 ETP USFJ 1JuL27 ( SB)</vt:lpstr>
      <vt:lpstr>ETP 1Jun27 (120 days SB)</vt:lpstr>
      <vt:lpstr>June Checking</vt:lpstr>
      <vt:lpstr>ETP 1JuL27 (120 days SB) USFJ</vt:lpstr>
      <vt:lpstr>133 ETP 1JuL27 (120 days SB) US</vt:lpstr>
      <vt:lpstr>Sheet1</vt:lpstr>
      <vt:lpstr>Sheet2</vt:lpstr>
      <vt:lpstr>Sheet3</vt:lpstr>
      <vt:lpstr>Sheet4</vt:lpstr>
      <vt:lpstr>Sheet5</vt:lpstr>
      <vt:lpstr>Sheet6</vt:lpstr>
      <vt:lpstr>PTDY_NO ETP 1JuL27 (60 days SB)</vt:lpstr>
      <vt:lpstr>No ETP 1Apr27 (60 days SB)</vt:lpstr>
      <vt:lpstr>No ETP 1Mar27 (60 days SB)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NAJERA, DAVID J CMSgt USAF PACAF 35 FW/CCC</dc:creator>
  <cp:lastModifiedBy>NAJERA, DAVID J CMSgt USAF PACAF 35 FW/CCC</cp:lastModifiedBy>
  <cp:lastPrinted>2025-12-23T06:03:24Z</cp:lastPrinted>
  <dcterms:created xsi:type="dcterms:W3CDTF">2025-12-23T00:05:00Z</dcterms:created>
  <dcterms:modified xsi:type="dcterms:W3CDTF">2026-02-23T08:22:25Z</dcterms:modified>
</cp:coreProperties>
</file>