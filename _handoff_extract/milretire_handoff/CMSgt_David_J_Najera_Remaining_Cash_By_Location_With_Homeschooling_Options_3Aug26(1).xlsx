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/>
  <xr:revisionPtr revIDLastSave="0" documentId="8_{AF9DB16D-E11C-9845-ABFA-5CAD87692C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tirement + Benefits" sheetId="1" r:id="rId1"/>
    <sheet name="Cost of Living (Clean)" sheetId="2" r:id="rId2"/>
    <sheet name="COL Matrix VA100" sheetId="3" r:id="rId3"/>
    <sheet name="Remaining Cash Matrix (VA 100%)" sheetId="4" r:id="rId4"/>
    <sheet name="Pay &amp; Benefits (VA 60%)" sheetId="5" r:id="rId5"/>
    <sheet name="Cost of Living (VA 60%)" sheetId="6" r:id="rId6"/>
    <sheet name="Remaining Cash Matrix (VA 60%)" sheetId="7" r:id="rId7"/>
    <sheet name="COL Matrix VA60" sheetId="8" r:id="rId8"/>
    <sheet name="Pay &amp; Benefits (VA 30%)" sheetId="9" r:id="rId9"/>
    <sheet name="Pay &amp; Benefits (VA 30% Alt)" sheetId="10" r:id="rId10"/>
    <sheet name="COL Matrix VA30" sheetId="11" r:id="rId11"/>
    <sheet name="Remaining Cash Matrix (VA 30%)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13" i="2"/>
  <c r="J12" i="2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K17" i="5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I5" i="6"/>
  <c r="J5" i="6"/>
  <c r="I4" i="6"/>
  <c r="J4" i="6"/>
  <c r="K20" i="5"/>
  <c r="I4" i="2"/>
  <c r="I23" i="2"/>
  <c r="J24" i="2"/>
  <c r="I24" i="2"/>
  <c r="I22" i="2"/>
  <c r="J23" i="2"/>
  <c r="I21" i="2"/>
  <c r="J22" i="2"/>
  <c r="I13" i="2"/>
  <c r="J21" i="2"/>
  <c r="I12" i="2"/>
  <c r="J20" i="2"/>
  <c r="I20" i="2"/>
  <c r="I14" i="2"/>
  <c r="J19" i="2"/>
  <c r="I19" i="2"/>
  <c r="I17" i="2"/>
  <c r="J18" i="2"/>
  <c r="I18" i="2"/>
  <c r="J17" i="2"/>
  <c r="J16" i="2"/>
  <c r="I16" i="2"/>
  <c r="J15" i="2"/>
  <c r="I15" i="2"/>
  <c r="J14" i="2"/>
  <c r="I11" i="2"/>
  <c r="J11" i="2"/>
  <c r="I10" i="2"/>
  <c r="J10" i="2"/>
  <c r="I9" i="2"/>
  <c r="J9" i="2"/>
  <c r="I8" i="2"/>
  <c r="J8" i="2"/>
  <c r="I7" i="2"/>
  <c r="J7" i="2"/>
  <c r="I6" i="2"/>
  <c r="J6" i="2"/>
  <c r="I5" i="2"/>
  <c r="J4" i="2"/>
  <c r="K20" i="1"/>
</calcChain>
</file>

<file path=xl/sharedStrings.xml><?xml version="1.0" encoding="utf-8"?>
<sst xmlns="http://schemas.openxmlformats.org/spreadsheetml/2006/main" count="584" uniqueCount="94">
  <si>
    <t>CMSgt David J. Najera retirement pay calculations</t>
  </si>
  <si>
    <t>Effective Date</t>
  </si>
  <si>
    <t>Years of Service</t>
  </si>
  <si>
    <t>Monthly Retirement Pay ($)</t>
  </si>
  <si>
    <t>VA Disability Pay (100%)</t>
  </si>
  <si>
    <t>Lizell’s VA Disability Pay</t>
  </si>
  <si>
    <t>Retirement + VA Monthly Income</t>
  </si>
  <si>
    <t>SGLI/VGLI</t>
  </si>
  <si>
    <t>TRICARE Family</t>
  </si>
  <si>
    <t>Income Tax</t>
  </si>
  <si>
    <t>Remaining Monthly Income</t>
  </si>
  <si>
    <t>Monthly Difference ($)</t>
  </si>
  <si>
    <t>Actual Cumulative $ Difference</t>
  </si>
  <si>
    <t>1 Jul 2026</t>
  </si>
  <si>
    <t>29y 0m</t>
  </si>
  <si>
    <t>1 Aug 2026</t>
  </si>
  <si>
    <t>29y 1m</t>
  </si>
  <si>
    <t>1 Sep 2026</t>
  </si>
  <si>
    <t>29y 2m</t>
  </si>
  <si>
    <t>1 Oct 2026</t>
  </si>
  <si>
    <t>29y 3m</t>
  </si>
  <si>
    <t>1 Nov 2026</t>
  </si>
  <si>
    <t>29y 4m</t>
  </si>
  <si>
    <t>1 Dec 2026</t>
  </si>
  <si>
    <t>29y 5m</t>
  </si>
  <si>
    <t>1 Jan 2027</t>
  </si>
  <si>
    <t>29y 6m</t>
  </si>
  <si>
    <t>1 Feb 2027</t>
  </si>
  <si>
    <t>29y 7m</t>
  </si>
  <si>
    <t>1 Mar 2027</t>
  </si>
  <si>
    <t>29y 8m</t>
  </si>
  <si>
    <t>1 Apr 2027</t>
  </si>
  <si>
    <t>29y 9m</t>
  </si>
  <si>
    <t>1 May 2027</t>
  </si>
  <si>
    <t>29y 10m</t>
  </si>
  <si>
    <t>1 Jun 2027</t>
  </si>
  <si>
    <t>29y 11m</t>
  </si>
  <si>
    <t>1 Jul 2027</t>
  </si>
  <si>
    <t>30y 0m</t>
  </si>
  <si>
    <t>Net Non-Pay Benefits (Value − Cost):</t>
  </si>
  <si>
    <t>Monthly Cost of Living Comparison (Family of 5)</t>
  </si>
  <si>
    <t>Location</t>
  </si>
  <si>
    <t>Water</t>
  </si>
  <si>
    <t>Electricity</t>
  </si>
  <si>
    <t>Internet</t>
  </si>
  <si>
    <t>Transportation</t>
  </si>
  <si>
    <t>Food</t>
  </si>
  <si>
    <t>Entertainment</t>
  </si>
  <si>
    <t>Rent (Monthly)</t>
  </si>
  <si>
    <t>Total Monthly Expenses</t>
  </si>
  <si>
    <t>Remaining from Monthly Pay</t>
  </si>
  <si>
    <t>Japan (Misawa)</t>
  </si>
  <si>
    <t>Japan (Osaka)</t>
  </si>
  <si>
    <t>Japan (Tokyo)</t>
  </si>
  <si>
    <t>Spain (Morón)</t>
  </si>
  <si>
    <t>Spain (Barcelona)</t>
  </si>
  <si>
    <t>Spain (Nájera)</t>
  </si>
  <si>
    <t>Portugal (Lisbon)</t>
  </si>
  <si>
    <t>New Zealand (Lyttelton)</t>
  </si>
  <si>
    <t>New Zealand (Auckland)</t>
  </si>
  <si>
    <t>New Zealand (Picton)</t>
  </si>
  <si>
    <t>Philippines (Dumaguete)</t>
  </si>
  <si>
    <t>Philippines (Bohol)</t>
  </si>
  <si>
    <t>Philippines (Subic Bay)</t>
  </si>
  <si>
    <t>Philippines (Cebu)</t>
  </si>
  <si>
    <t>Thailand (Hua Hin)</t>
  </si>
  <si>
    <t>South Korea (Seoul)</t>
  </si>
  <si>
    <t>United States (Washington)</t>
  </si>
  <si>
    <t>United States (Arizona)</t>
  </si>
  <si>
    <t>United States (Honolulu, HI)</t>
  </si>
  <si>
    <t>United States (Maui, HI)</t>
  </si>
  <si>
    <t>United States (Indiana)</t>
  </si>
  <si>
    <t>Cost of Living Matrix — Remaining Cash by Retirement Month (VA100)</t>
  </si>
  <si>
    <t>Monthly Expenses</t>
  </si>
  <si>
    <t>Income</t>
  </si>
  <si>
    <t>Remaining</t>
  </si>
  <si>
    <t>Remaining Cash by Location and Retirement Month (VA 100%)</t>
  </si>
  <si>
    <t>Homeschooling Status (Ages 11–18)</t>
  </si>
  <si>
    <t>Restricted. Not explicitly legal; typically done via international/umbrella programs.</t>
  </si>
  <si>
    <t>Restricted. Not explicitly legal; expat families use legal workarounds.</t>
  </si>
  <si>
    <t>Allowed with registration and oversight through Ministry of Education.</t>
  </si>
  <si>
    <t>Allowed. Well-established legal framework; supervision required.</t>
  </si>
  <si>
    <t>Allowed. Strong legal support and Christian homeschool networks.</t>
  </si>
  <si>
    <t>Allowed with registration; moderate oversight required.</t>
  </si>
  <si>
    <t>Review local regulations.</t>
  </si>
  <si>
    <t>Allowed. State-based regulations; generally well supported.</t>
  </si>
  <si>
    <t>VA Disability Pay (60%))</t>
  </si>
  <si>
    <t>Remaining Cash by Location and Retirement Month (VA 60%)</t>
  </si>
  <si>
    <t>Cost of Living Matrix — Remaining Cash by Retirement Month (VA60)</t>
  </si>
  <si>
    <t>VA Disability Pay (30%))</t>
  </si>
  <si>
    <t>VA Disability Pay (Alt))</t>
  </si>
  <si>
    <t>Cost of Living Matrix — Remaining Cash by Retirement Month (VA30)</t>
  </si>
  <si>
    <t>Remaining Cash by Location and Retirement Month (VA 30%)</t>
  </si>
  <si>
    <t>CMSgt David J. Najera retirement pay calculations - 60%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</si>
</sst>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E6F2FF"/>
      </patternFill>
    </fill>
    <fill>
      <patternFill patternType="solid">
        <fgColor rgb="FFCCE5FF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3" xfId="0" applyBorder="1"/>
    <xf numFmtId="0" fontId="3" fillId="3" borderId="0" xfId="0" applyFont="1" applyFill="1" applyAlignment="1">
      <alignment horizontal="center" vertical="center"/>
    </xf>
    <xf numFmtId="0" fontId="0" fillId="0" borderId="4" xfId="0" applyBorder="1"/>
    <xf numFmtId="164" fontId="0" fillId="0" borderId="4" xfId="0" applyNumberForma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3" borderId="4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G1" workbookViewId="0">
      <pane ySplit="3" topLeftCell="G6" activePane="bottomLeft" state="frozen"/>
      <selection activeCell="F1" sqref="F1"/>
      <selection pane="bottomLeft" activeCell="H3" sqref="H3:I16"/>
    </sheetView>
  </sheetViews>
  <sheetFormatPr defaultRowHeight="15" x14ac:dyDescent="0.2"/>
  <cols>
    <col min="1" max="1" width="27.98046875" style="19" customWidth="1"/>
    <col min="2" max="2" width="52.05859375" style="19" customWidth="1"/>
    <col min="3" max="3" width="18.0234375" style="19" customWidth="1"/>
    <col min="4" max="4" width="39.953125" style="19" customWidth="1"/>
    <col min="5" max="5" width="29.99609375" style="19" customWidth="1"/>
    <col min="6" max="6" width="27.98046875" style="19" customWidth="1"/>
    <col min="7" max="14" width="23.9453125" style="19" customWidth="1"/>
    <col min="16" max="16" width="18.96484375" style="19" customWidth="1"/>
  </cols>
  <sheetData>
    <row r="1" spans="1:12" ht="18.75" customHeight="1" x14ac:dyDescent="0.2">
      <c r="A1" s="25" t="s">
        <v>0</v>
      </c>
      <c r="B1" s="24"/>
      <c r="C1" s="24"/>
      <c r="D1" s="24"/>
      <c r="E1" s="24"/>
      <c r="F1" s="24"/>
      <c r="G1" s="24"/>
      <c r="H1" s="24"/>
    </row>
    <row r="3" spans="1:12" ht="33.950000000000003" customHeight="1" x14ac:dyDescent="0.2">
      <c r="A3" s="1" t="s">
        <v>1</v>
      </c>
      <c r="B3" s="1" t="s">
        <v>2</v>
      </c>
      <c r="C3" s="1" t="s">
        <v>3</v>
      </c>
      <c r="D3" s="8" t="s">
        <v>4</v>
      </c>
      <c r="E3" s="16" t="s">
        <v>5</v>
      </c>
      <c r="F3" s="8" t="s">
        <v>6</v>
      </c>
      <c r="G3" s="13" t="s">
        <v>7</v>
      </c>
      <c r="H3" s="13" t="s">
        <v>8</v>
      </c>
      <c r="I3" s="13" t="s">
        <v>9</v>
      </c>
      <c r="J3" s="17" t="s">
        <v>10</v>
      </c>
      <c r="K3" s="1" t="s">
        <v>11</v>
      </c>
      <c r="L3" s="1" t="s">
        <v>12</v>
      </c>
    </row>
    <row r="4" spans="1:12" x14ac:dyDescent="0.2">
      <c r="A4" s="2" t="s">
        <v>13</v>
      </c>
      <c r="B4" s="2" t="s">
        <v>14</v>
      </c>
      <c r="C4" s="3">
        <v>6323</v>
      </c>
      <c r="D4" s="3">
        <v>4100</v>
      </c>
      <c r="E4" s="11">
        <v>4780</v>
      </c>
      <c r="F4" s="3">
        <v>15203</v>
      </c>
      <c r="G4" s="11">
        <v>-400</v>
      </c>
      <c r="H4" s="11">
        <v>-64</v>
      </c>
      <c r="I4" s="11">
        <v>-679</v>
      </c>
      <c r="J4" s="11">
        <v>14060</v>
      </c>
      <c r="K4" s="4"/>
      <c r="L4" s="3">
        <v>0</v>
      </c>
    </row>
    <row r="5" spans="1:12" x14ac:dyDescent="0.2">
      <c r="A5" s="2" t="s">
        <v>15</v>
      </c>
      <c r="B5" s="2" t="s">
        <v>16</v>
      </c>
      <c r="C5" s="3">
        <v>6364</v>
      </c>
      <c r="D5" s="3">
        <v>4100</v>
      </c>
      <c r="E5" s="11">
        <v>4780</v>
      </c>
      <c r="F5" s="3">
        <v>15244</v>
      </c>
      <c r="G5" s="11">
        <v>-400</v>
      </c>
      <c r="H5" s="11">
        <v>-64</v>
      </c>
      <c r="I5" s="11">
        <v>-679</v>
      </c>
      <c r="J5" s="11">
        <v>14101</v>
      </c>
      <c r="K5" s="3">
        <v>41</v>
      </c>
      <c r="L5" s="3">
        <v>41</v>
      </c>
    </row>
    <row r="6" spans="1:12" x14ac:dyDescent="0.2">
      <c r="A6" s="2" t="s">
        <v>17</v>
      </c>
      <c r="B6" s="2" t="s">
        <v>18</v>
      </c>
      <c r="C6" s="3">
        <v>6406</v>
      </c>
      <c r="D6" s="3">
        <v>4100</v>
      </c>
      <c r="E6" s="11">
        <v>4780</v>
      </c>
      <c r="F6" s="3">
        <v>15286</v>
      </c>
      <c r="G6" s="11">
        <v>-400</v>
      </c>
      <c r="H6" s="11">
        <v>-64</v>
      </c>
      <c r="I6" s="11">
        <v>-679</v>
      </c>
      <c r="J6" s="11">
        <v>14143</v>
      </c>
      <c r="K6" s="3">
        <v>42</v>
      </c>
      <c r="L6" s="3">
        <v>83</v>
      </c>
    </row>
    <row r="7" spans="1:12" x14ac:dyDescent="0.2">
      <c r="A7" s="2" t="s">
        <v>19</v>
      </c>
      <c r="B7" s="2" t="s">
        <v>20</v>
      </c>
      <c r="C7" s="3">
        <v>6448</v>
      </c>
      <c r="D7" s="3">
        <v>4100</v>
      </c>
      <c r="E7" s="11">
        <v>4780</v>
      </c>
      <c r="F7" s="3">
        <v>15328</v>
      </c>
      <c r="G7" s="11">
        <v>-400</v>
      </c>
      <c r="H7" s="11">
        <v>-64</v>
      </c>
      <c r="I7" s="11">
        <v>-679</v>
      </c>
      <c r="J7" s="11">
        <v>14185</v>
      </c>
      <c r="K7" s="3">
        <v>42</v>
      </c>
      <c r="L7" s="3">
        <v>125</v>
      </c>
    </row>
    <row r="8" spans="1:12" x14ac:dyDescent="0.2">
      <c r="A8" s="2" t="s">
        <v>21</v>
      </c>
      <c r="B8" s="2" t="s">
        <v>22</v>
      </c>
      <c r="C8" s="3">
        <v>6489</v>
      </c>
      <c r="D8" s="3">
        <v>4100</v>
      </c>
      <c r="E8" s="11">
        <v>4780</v>
      </c>
      <c r="F8" s="3">
        <v>15369</v>
      </c>
      <c r="G8" s="11">
        <v>-400</v>
      </c>
      <c r="H8" s="11">
        <v>-64</v>
      </c>
      <c r="I8" s="11">
        <v>-679</v>
      </c>
      <c r="J8" s="11">
        <v>14226</v>
      </c>
      <c r="K8" s="3">
        <v>41</v>
      </c>
      <c r="L8" s="3">
        <v>166</v>
      </c>
    </row>
    <row r="9" spans="1:12" x14ac:dyDescent="0.2">
      <c r="A9" s="2" t="s">
        <v>23</v>
      </c>
      <c r="B9" s="2" t="s">
        <v>24</v>
      </c>
      <c r="C9" s="3">
        <v>6531</v>
      </c>
      <c r="D9" s="3">
        <v>4100</v>
      </c>
      <c r="E9" s="11">
        <v>4780</v>
      </c>
      <c r="F9" s="3">
        <v>15411</v>
      </c>
      <c r="G9" s="11">
        <v>-400</v>
      </c>
      <c r="H9" s="11">
        <v>-64</v>
      </c>
      <c r="I9" s="11">
        <v>-679</v>
      </c>
      <c r="J9" s="11">
        <v>14268</v>
      </c>
      <c r="K9" s="3">
        <v>42</v>
      </c>
      <c r="L9" s="3">
        <v>208</v>
      </c>
    </row>
    <row r="10" spans="1:12" x14ac:dyDescent="0.2">
      <c r="A10" s="2" t="s">
        <v>25</v>
      </c>
      <c r="B10" s="2" t="s">
        <v>26</v>
      </c>
      <c r="C10" s="3">
        <v>6573</v>
      </c>
      <c r="D10" s="3">
        <v>4100</v>
      </c>
      <c r="E10" s="11">
        <v>4780</v>
      </c>
      <c r="F10" s="3">
        <v>15453</v>
      </c>
      <c r="G10" s="11">
        <v>-400</v>
      </c>
      <c r="H10" s="11">
        <v>-64</v>
      </c>
      <c r="I10" s="11">
        <v>-679</v>
      </c>
      <c r="J10" s="11">
        <v>14310</v>
      </c>
      <c r="K10" s="3">
        <v>42</v>
      </c>
      <c r="L10" s="3">
        <v>250</v>
      </c>
    </row>
    <row r="11" spans="1:12" x14ac:dyDescent="0.2">
      <c r="A11" s="2" t="s">
        <v>27</v>
      </c>
      <c r="B11" s="2" t="s">
        <v>28</v>
      </c>
      <c r="C11" s="3">
        <v>6611</v>
      </c>
      <c r="D11" s="3">
        <v>4100</v>
      </c>
      <c r="E11" s="11">
        <v>4780</v>
      </c>
      <c r="F11" s="3">
        <v>15491</v>
      </c>
      <c r="G11" s="11">
        <v>-400</v>
      </c>
      <c r="H11" s="11">
        <v>-64</v>
      </c>
      <c r="I11" s="11">
        <v>-679</v>
      </c>
      <c r="J11" s="11">
        <v>14348</v>
      </c>
      <c r="K11" s="3">
        <v>38</v>
      </c>
      <c r="L11" s="3">
        <v>288</v>
      </c>
    </row>
    <row r="12" spans="1:12" x14ac:dyDescent="0.2">
      <c r="A12" s="2" t="s">
        <v>29</v>
      </c>
      <c r="B12" s="2" t="s">
        <v>30</v>
      </c>
      <c r="C12" s="3">
        <v>6648</v>
      </c>
      <c r="D12" s="3">
        <v>4100</v>
      </c>
      <c r="E12" s="11">
        <v>4780</v>
      </c>
      <c r="F12" s="3">
        <v>15528</v>
      </c>
      <c r="G12" s="11">
        <v>-400</v>
      </c>
      <c r="H12" s="11">
        <v>-64</v>
      </c>
      <c r="I12" s="11">
        <v>-679</v>
      </c>
      <c r="J12" s="11">
        <v>14385</v>
      </c>
      <c r="K12" s="3">
        <v>37</v>
      </c>
      <c r="L12" s="3">
        <v>325</v>
      </c>
    </row>
    <row r="13" spans="1:12" x14ac:dyDescent="0.2">
      <c r="A13" s="2" t="s">
        <v>31</v>
      </c>
      <c r="B13" s="2" t="s">
        <v>32</v>
      </c>
      <c r="C13" s="3">
        <v>6685</v>
      </c>
      <c r="D13" s="3">
        <v>4100</v>
      </c>
      <c r="E13" s="11">
        <v>4780</v>
      </c>
      <c r="F13" s="3">
        <v>15565</v>
      </c>
      <c r="G13" s="11">
        <v>-400</v>
      </c>
      <c r="H13" s="11">
        <v>-64</v>
      </c>
      <c r="I13" s="11">
        <v>-679</v>
      </c>
      <c r="J13" s="11">
        <v>14422</v>
      </c>
      <c r="K13" s="3">
        <v>37</v>
      </c>
      <c r="L13" s="3">
        <v>362</v>
      </c>
    </row>
    <row r="14" spans="1:12" x14ac:dyDescent="0.2">
      <c r="A14" s="2" t="s">
        <v>33</v>
      </c>
      <c r="B14" s="2" t="s">
        <v>34</v>
      </c>
      <c r="C14" s="3">
        <v>6723</v>
      </c>
      <c r="D14" s="3">
        <v>4100</v>
      </c>
      <c r="E14" s="11">
        <v>4780</v>
      </c>
      <c r="F14" s="3">
        <v>15603</v>
      </c>
      <c r="G14" s="11">
        <v>-400</v>
      </c>
      <c r="H14" s="11">
        <v>-64</v>
      </c>
      <c r="I14" s="11">
        <v>-679</v>
      </c>
      <c r="J14" s="11">
        <v>14460</v>
      </c>
      <c r="K14" s="3">
        <v>38</v>
      </c>
      <c r="L14" s="3">
        <v>400</v>
      </c>
    </row>
    <row r="15" spans="1:12" x14ac:dyDescent="0.2">
      <c r="A15" s="2" t="s">
        <v>35</v>
      </c>
      <c r="B15" s="2" t="s">
        <v>36</v>
      </c>
      <c r="C15" s="3">
        <v>6761</v>
      </c>
      <c r="D15" s="3">
        <v>4100</v>
      </c>
      <c r="E15" s="11">
        <v>4780</v>
      </c>
      <c r="F15" s="3">
        <v>15641</v>
      </c>
      <c r="G15" s="11">
        <v>-400</v>
      </c>
      <c r="H15" s="11">
        <v>-64</v>
      </c>
      <c r="I15" s="11">
        <v>-679</v>
      </c>
      <c r="J15" s="11">
        <v>14498</v>
      </c>
      <c r="K15" s="3">
        <v>38</v>
      </c>
      <c r="L15" s="3">
        <v>438</v>
      </c>
    </row>
    <row r="16" spans="1:12" x14ac:dyDescent="0.2">
      <c r="A16" s="2" t="s">
        <v>37</v>
      </c>
      <c r="B16" s="2" t="s">
        <v>38</v>
      </c>
      <c r="C16" s="3">
        <v>6798</v>
      </c>
      <c r="D16" s="3">
        <v>4100</v>
      </c>
      <c r="E16" s="11">
        <v>4780</v>
      </c>
      <c r="F16" s="3">
        <v>15678</v>
      </c>
      <c r="G16" s="11">
        <v>-400</v>
      </c>
      <c r="H16" s="11">
        <v>-64</v>
      </c>
      <c r="I16" s="11">
        <v>-679</v>
      </c>
      <c r="J16" s="11">
        <v>14535</v>
      </c>
      <c r="K16" s="3">
        <v>37</v>
      </c>
      <c r="L16" s="3">
        <v>475</v>
      </c>
    </row>
    <row r="19" spans="1:12" x14ac:dyDescent="0.2">
      <c r="A19" s="24"/>
      <c r="B19" s="24"/>
      <c r="C19" s="24"/>
      <c r="D19" s="24"/>
      <c r="E19" s="24"/>
      <c r="F19" s="24"/>
      <c r="G19" s="24"/>
    </row>
    <row r="20" spans="1:12" x14ac:dyDescent="0.2">
      <c r="A20" s="24"/>
      <c r="B20" s="24"/>
      <c r="C20" s="24"/>
      <c r="D20" s="24"/>
      <c r="E20" s="24"/>
      <c r="F20" s="24"/>
      <c r="G20" s="24"/>
      <c r="K20" s="6">
        <f>SUM(D22:D30)</f>
        <v>0</v>
      </c>
    </row>
    <row r="21" spans="1:12" ht="33.950000000000003" customHeight="1" x14ac:dyDescent="0.2">
      <c r="C21" s="5" t="s">
        <v>39</v>
      </c>
      <c r="D21" s="12"/>
      <c r="E21" s="12"/>
      <c r="F21" s="12"/>
      <c r="K21" s="12"/>
      <c r="L21" s="7"/>
    </row>
    <row r="24" spans="1:12" ht="27.75" customHeight="1" x14ac:dyDescent="0.2"/>
    <row r="26" spans="1:12" ht="15.75" customHeight="1" x14ac:dyDescent="0.2"/>
    <row r="33" spans="4:5" x14ac:dyDescent="0.2">
      <c r="D33" s="24"/>
      <c r="E33" s="24"/>
    </row>
  </sheetData>
  <mergeCells count="4">
    <mergeCell ref="A20:G20"/>
    <mergeCell ref="A19:G19"/>
    <mergeCell ref="D33:E3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B1" workbookViewId="0">
      <selection activeCell="J5" sqref="J5"/>
    </sheetView>
  </sheetViews>
  <sheetFormatPr defaultRowHeight="15" x14ac:dyDescent="0.2"/>
  <cols>
    <col min="1" max="1" width="22.05859375" style="19" customWidth="1"/>
    <col min="2" max="2" width="11.97265625" style="19" customWidth="1"/>
    <col min="3" max="3" width="13.98828125" style="19" customWidth="1"/>
    <col min="4" max="4" width="11.97265625" style="19" customWidth="1"/>
    <col min="5" max="5" width="16.0078125" style="19" customWidth="1"/>
    <col min="6" max="6" width="13.98828125" style="19" customWidth="1"/>
    <col min="7" max="7" width="16.0078125" style="19" customWidth="1"/>
    <col min="8" max="8" width="18.0234375" style="19" customWidth="1"/>
    <col min="9" max="9" width="23.9453125" style="19" customWidth="1"/>
    <col min="10" max="10" width="27.3046875" style="19" customWidth="1"/>
    <col min="11" max="11" width="20.04296875" style="19" customWidth="1"/>
  </cols>
  <sheetData>
    <row r="1" spans="1:10" ht="18.75" customHeight="1" x14ac:dyDescent="0.25">
      <c r="A1" s="26" t="s">
        <v>40</v>
      </c>
      <c r="B1" s="24"/>
      <c r="C1" s="24"/>
      <c r="D1" s="24"/>
      <c r="E1" s="24"/>
      <c r="F1" s="24"/>
      <c r="G1" s="24"/>
      <c r="H1" s="24"/>
      <c r="I1" s="24"/>
    </row>
    <row r="3" spans="1:10" x14ac:dyDescent="0.2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10" t="s">
        <v>48</v>
      </c>
      <c r="I3" s="9" t="s">
        <v>49</v>
      </c>
      <c r="J3" s="9" t="s">
        <v>50</v>
      </c>
    </row>
    <row r="4" spans="1:10" x14ac:dyDescent="0.2">
      <c r="A4" t="s">
        <v>51</v>
      </c>
      <c r="B4" s="11">
        <v>80</v>
      </c>
      <c r="C4" s="11">
        <v>180</v>
      </c>
      <c r="D4" s="11">
        <v>70</v>
      </c>
      <c r="E4" s="11">
        <v>250</v>
      </c>
      <c r="F4" s="11">
        <v>900</v>
      </c>
      <c r="G4" s="11">
        <v>300</v>
      </c>
      <c r="H4" s="11">
        <v>1200</v>
      </c>
      <c r="I4" s="11">
        <f>SUM(B4:H4)</f>
        <v>2980</v>
      </c>
      <c r="J4" s="11">
        <f>I$4-I4</f>
        <v>0</v>
      </c>
    </row>
    <row r="5" spans="1:10" x14ac:dyDescent="0.2">
      <c r="A5" t="s">
        <v>52</v>
      </c>
      <c r="B5" s="11">
        <v>75</v>
      </c>
      <c r="C5" s="11">
        <v>190</v>
      </c>
      <c r="D5" s="11">
        <v>70</v>
      </c>
      <c r="E5" s="11">
        <v>260</v>
      </c>
      <c r="F5" s="11">
        <v>900</v>
      </c>
      <c r="G5" s="11">
        <v>325</v>
      </c>
      <c r="H5" s="11">
        <v>1600</v>
      </c>
      <c r="I5" s="11">
        <f>SUM(B5:H5)</f>
        <v>3420</v>
      </c>
      <c r="J5" s="11">
        <f>I$4-I5</f>
        <v>-440</v>
      </c>
    </row>
    <row r="6" spans="1:10" x14ac:dyDescent="0.2">
      <c r="A6" t="s">
        <v>53</v>
      </c>
      <c r="B6" s="11">
        <v>85</v>
      </c>
      <c r="C6" s="11">
        <v>220</v>
      </c>
      <c r="D6" s="11">
        <v>80</v>
      </c>
      <c r="E6" s="11">
        <v>300</v>
      </c>
      <c r="F6" s="11">
        <v>1000</v>
      </c>
      <c r="G6" s="11">
        <v>350</v>
      </c>
      <c r="H6" s="11">
        <v>2000</v>
      </c>
      <c r="I6" s="11">
        <f>SUM(B6:H6)</f>
        <v>4035</v>
      </c>
      <c r="J6" s="11">
        <f>I$4-I6</f>
        <v>-1055</v>
      </c>
    </row>
    <row r="7" spans="1:10" x14ac:dyDescent="0.2">
      <c r="A7" t="s">
        <v>54</v>
      </c>
      <c r="B7" s="11">
        <v>55</v>
      </c>
      <c r="C7" s="11">
        <v>110</v>
      </c>
      <c r="D7" s="11">
        <v>55</v>
      </c>
      <c r="E7" s="11">
        <v>180</v>
      </c>
      <c r="F7" s="11">
        <v>700</v>
      </c>
      <c r="G7" s="11">
        <v>250</v>
      </c>
      <c r="H7" s="11">
        <v>1100</v>
      </c>
      <c r="I7" s="11">
        <f>SUM(B7:H7)</f>
        <v>2450</v>
      </c>
      <c r="J7" s="11">
        <f>I$4-I7</f>
        <v>530</v>
      </c>
    </row>
    <row r="8" spans="1:10" x14ac:dyDescent="0.2">
      <c r="A8" t="s">
        <v>55</v>
      </c>
      <c r="B8" s="11">
        <v>70</v>
      </c>
      <c r="C8" s="11">
        <v>150</v>
      </c>
      <c r="D8" s="11">
        <v>65</v>
      </c>
      <c r="E8" s="11">
        <v>220</v>
      </c>
      <c r="F8" s="11">
        <v>850</v>
      </c>
      <c r="G8" s="11">
        <v>300</v>
      </c>
      <c r="H8" s="11">
        <v>1700</v>
      </c>
      <c r="I8" s="11">
        <f>SUM(B8:H8)</f>
        <v>3355</v>
      </c>
      <c r="J8" s="11">
        <f>I$4-I8</f>
        <v>-375</v>
      </c>
    </row>
    <row r="9" spans="1:10" x14ac:dyDescent="0.2">
      <c r="A9" t="s">
        <v>56</v>
      </c>
      <c r="B9" s="11">
        <v>50</v>
      </c>
      <c r="C9" s="11">
        <v>100</v>
      </c>
      <c r="D9" s="11">
        <v>50</v>
      </c>
      <c r="E9" s="11">
        <v>160</v>
      </c>
      <c r="F9" s="11">
        <v>650</v>
      </c>
      <c r="G9" s="11">
        <v>225</v>
      </c>
      <c r="H9" s="11">
        <v>950</v>
      </c>
      <c r="I9" s="11">
        <f>SUM(B9:H9)</f>
        <v>2185</v>
      </c>
      <c r="J9" s="11">
        <f>I$4-I9</f>
        <v>795</v>
      </c>
    </row>
    <row r="10" spans="1:10" x14ac:dyDescent="0.2">
      <c r="A10" t="s">
        <v>57</v>
      </c>
      <c r="B10" s="11">
        <v>60</v>
      </c>
      <c r="C10" s="11">
        <v>120</v>
      </c>
      <c r="D10" s="11">
        <v>60</v>
      </c>
      <c r="E10" s="11">
        <v>200</v>
      </c>
      <c r="F10" s="11">
        <v>750</v>
      </c>
      <c r="G10" s="11">
        <v>275</v>
      </c>
      <c r="H10" s="11">
        <v>1500</v>
      </c>
      <c r="I10" s="11">
        <f>SUM(B10:H10)</f>
        <v>2965</v>
      </c>
      <c r="J10" s="11">
        <f>I$4-I10</f>
        <v>15</v>
      </c>
    </row>
    <row r="11" spans="1:10" x14ac:dyDescent="0.2">
      <c r="A11" t="s">
        <v>58</v>
      </c>
      <c r="B11" s="11">
        <v>85</v>
      </c>
      <c r="C11" s="11">
        <v>180</v>
      </c>
      <c r="D11" s="11">
        <v>70</v>
      </c>
      <c r="E11" s="11">
        <v>240</v>
      </c>
      <c r="F11" s="11">
        <v>900</v>
      </c>
      <c r="G11" s="11">
        <v>300</v>
      </c>
      <c r="H11" s="11">
        <v>1800</v>
      </c>
      <c r="I11" s="11">
        <f>SUM(B11:H11)</f>
        <v>3575</v>
      </c>
      <c r="J11" s="11">
        <f>I$4-I11</f>
        <v>-595</v>
      </c>
    </row>
    <row r="12" spans="1:10" x14ac:dyDescent="0.2">
      <c r="A12" t="s">
        <v>59</v>
      </c>
      <c r="B12" s="11">
        <v>90</v>
      </c>
      <c r="C12" s="11">
        <v>210</v>
      </c>
      <c r="D12" s="11">
        <v>75</v>
      </c>
      <c r="E12" s="11">
        <v>280</v>
      </c>
      <c r="F12" s="11">
        <v>950</v>
      </c>
      <c r="G12" s="11">
        <v>325</v>
      </c>
      <c r="H12" s="11">
        <v>2300</v>
      </c>
      <c r="I12" s="11">
        <f>SUM(B24:H24)</f>
        <v>3370</v>
      </c>
      <c r="J12" s="11">
        <f>I$4-I12</f>
        <v>-390</v>
      </c>
    </row>
    <row r="13" spans="1:10" x14ac:dyDescent="0.2">
      <c r="A13" t="s">
        <v>60</v>
      </c>
      <c r="B13" s="11">
        <v>80</v>
      </c>
      <c r="C13" s="11">
        <v>170</v>
      </c>
      <c r="D13" s="11">
        <v>65</v>
      </c>
      <c r="E13" s="11">
        <v>220</v>
      </c>
      <c r="F13" s="11">
        <v>850</v>
      </c>
      <c r="G13" s="11">
        <v>300</v>
      </c>
      <c r="H13" s="11">
        <v>1600</v>
      </c>
      <c r="I13" s="11">
        <f>SUM(B25:H25)</f>
        <v>0</v>
      </c>
      <c r="J13" s="11">
        <f>I$4-I13</f>
        <v>2980</v>
      </c>
    </row>
    <row r="14" spans="1:10" x14ac:dyDescent="0.2">
      <c r="A14" t="s">
        <v>61</v>
      </c>
      <c r="B14" s="11">
        <v>60</v>
      </c>
      <c r="C14" s="11">
        <v>120</v>
      </c>
      <c r="D14" s="11">
        <v>55</v>
      </c>
      <c r="E14" s="11">
        <v>180</v>
      </c>
      <c r="F14" s="11">
        <v>650</v>
      </c>
      <c r="G14" s="11">
        <v>250</v>
      </c>
      <c r="H14" s="11">
        <v>900</v>
      </c>
      <c r="I14" s="11">
        <f>SUM(B16:H16)</f>
        <v>2405</v>
      </c>
      <c r="J14" s="11">
        <f>I$4-I16</f>
        <v>-270</v>
      </c>
    </row>
    <row r="15" spans="1:10" x14ac:dyDescent="0.2">
      <c r="A15" t="s">
        <v>62</v>
      </c>
      <c r="B15" s="11">
        <v>60</v>
      </c>
      <c r="C15" s="11">
        <v>115</v>
      </c>
      <c r="D15" s="11">
        <v>55</v>
      </c>
      <c r="E15" s="11">
        <v>170</v>
      </c>
      <c r="F15" s="11">
        <v>650</v>
      </c>
      <c r="G15" s="11">
        <v>240</v>
      </c>
      <c r="H15" s="11">
        <v>850</v>
      </c>
      <c r="I15" s="11">
        <f>SUM(B18:H18)</f>
        <v>2430</v>
      </c>
      <c r="J15" s="11">
        <f>I$4-I18</f>
        <v>370</v>
      </c>
    </row>
    <row r="16" spans="1:10" x14ac:dyDescent="0.2">
      <c r="A16" t="s">
        <v>63</v>
      </c>
      <c r="B16" s="11">
        <v>65</v>
      </c>
      <c r="C16" s="11">
        <v>130</v>
      </c>
      <c r="D16" s="11">
        <v>60</v>
      </c>
      <c r="E16" s="11">
        <v>190</v>
      </c>
      <c r="F16" s="11">
        <v>700</v>
      </c>
      <c r="G16" s="11">
        <v>260</v>
      </c>
      <c r="H16" s="11">
        <v>1000</v>
      </c>
      <c r="I16" s="11">
        <f>SUM(B19:H19)</f>
        <v>3250</v>
      </c>
      <c r="J16" s="11">
        <f>I$4-I19</f>
        <v>765</v>
      </c>
    </row>
    <row r="17" spans="1:10" x14ac:dyDescent="0.2">
      <c r="A17" t="s">
        <v>64</v>
      </c>
      <c r="B17" s="11">
        <v>70</v>
      </c>
      <c r="C17" s="11">
        <v>140</v>
      </c>
      <c r="D17" s="11">
        <v>65</v>
      </c>
      <c r="E17" s="11">
        <v>210</v>
      </c>
      <c r="F17" s="11">
        <v>750</v>
      </c>
      <c r="G17" s="11">
        <v>275</v>
      </c>
      <c r="H17" s="11">
        <v>1100</v>
      </c>
      <c r="I17" s="11">
        <f>SUM(B20:H20)</f>
        <v>4590</v>
      </c>
      <c r="J17" s="11">
        <f>I$4-I20</f>
        <v>-1250</v>
      </c>
    </row>
    <row r="18" spans="1:10" x14ac:dyDescent="0.2">
      <c r="A18" t="s">
        <v>65</v>
      </c>
      <c r="B18" s="11">
        <v>65</v>
      </c>
      <c r="C18" s="11">
        <v>130</v>
      </c>
      <c r="D18" s="11">
        <v>60</v>
      </c>
      <c r="E18" s="11">
        <v>200</v>
      </c>
      <c r="F18" s="11">
        <v>700</v>
      </c>
      <c r="G18" s="11">
        <v>275</v>
      </c>
      <c r="H18" s="11">
        <v>1000</v>
      </c>
      <c r="I18" s="11">
        <f>SUM(B17:H17)</f>
        <v>2610</v>
      </c>
      <c r="J18" s="11">
        <f>I$4-I17</f>
        <v>-1610</v>
      </c>
    </row>
    <row r="19" spans="1:10" x14ac:dyDescent="0.2">
      <c r="A19" t="s">
        <v>66</v>
      </c>
      <c r="B19" s="11">
        <v>70</v>
      </c>
      <c r="C19" s="11">
        <v>150</v>
      </c>
      <c r="D19" s="11">
        <v>60</v>
      </c>
      <c r="E19" s="11">
        <v>220</v>
      </c>
      <c r="F19" s="11">
        <v>850</v>
      </c>
      <c r="G19" s="11">
        <v>300</v>
      </c>
      <c r="H19" s="11">
        <v>1600</v>
      </c>
      <c r="I19" s="11">
        <f>SUM(B14:H14)</f>
        <v>2215</v>
      </c>
      <c r="J19" s="11">
        <f>I$4-I14</f>
        <v>575</v>
      </c>
    </row>
    <row r="20" spans="1:10" x14ac:dyDescent="0.2">
      <c r="A20" t="s">
        <v>67</v>
      </c>
      <c r="B20" s="11">
        <v>90</v>
      </c>
      <c r="C20" s="11">
        <v>200</v>
      </c>
      <c r="D20" s="11">
        <v>80</v>
      </c>
      <c r="E20" s="11">
        <v>320</v>
      </c>
      <c r="F20" s="11">
        <v>950</v>
      </c>
      <c r="G20" s="11">
        <v>350</v>
      </c>
      <c r="H20" s="11">
        <v>2600</v>
      </c>
      <c r="I20" s="11">
        <f>SUM(B12:H12)</f>
        <v>4230</v>
      </c>
      <c r="J20" s="11">
        <f>I$4-I12</f>
        <v>-390</v>
      </c>
    </row>
    <row r="21" spans="1:10" x14ac:dyDescent="0.2">
      <c r="A21" t="s">
        <v>68</v>
      </c>
      <c r="B21" s="11">
        <v>85</v>
      </c>
      <c r="C21" s="11">
        <v>220</v>
      </c>
      <c r="D21" s="11">
        <v>75</v>
      </c>
      <c r="E21" s="11">
        <v>300</v>
      </c>
      <c r="F21" s="11">
        <v>900</v>
      </c>
      <c r="G21" s="11">
        <v>325</v>
      </c>
      <c r="H21" s="11">
        <v>2200</v>
      </c>
      <c r="I21" s="11">
        <f>SUM(B13:H13)</f>
        <v>3285</v>
      </c>
      <c r="J21" s="11">
        <f>I$4-I13</f>
        <v>2980</v>
      </c>
    </row>
    <row r="22" spans="1:10" x14ac:dyDescent="0.2">
      <c r="A22" t="s">
        <v>69</v>
      </c>
      <c r="B22" s="11">
        <v>95</v>
      </c>
      <c r="C22" s="11">
        <v>260</v>
      </c>
      <c r="D22" s="11">
        <v>85</v>
      </c>
      <c r="E22" s="11">
        <v>350</v>
      </c>
      <c r="F22" s="11">
        <v>1100</v>
      </c>
      <c r="G22" s="11">
        <v>400</v>
      </c>
      <c r="H22" s="11">
        <v>3200</v>
      </c>
      <c r="I22" s="11">
        <f>SUM(B21:H21)</f>
        <v>4105</v>
      </c>
      <c r="J22" s="11">
        <f>I$4-I21</f>
        <v>-305</v>
      </c>
    </row>
    <row r="23" spans="1:10" x14ac:dyDescent="0.2">
      <c r="A23" t="s">
        <v>70</v>
      </c>
      <c r="B23" s="11">
        <v>100</v>
      </c>
      <c r="C23" s="11">
        <v>280</v>
      </c>
      <c r="D23" s="11">
        <v>90</v>
      </c>
      <c r="E23" s="11">
        <v>380</v>
      </c>
      <c r="F23" s="11">
        <v>1150</v>
      </c>
      <c r="G23" s="11">
        <v>425</v>
      </c>
      <c r="H23" s="11">
        <v>3600</v>
      </c>
      <c r="I23" s="11">
        <f>SUM(B22:H22)</f>
        <v>5490</v>
      </c>
      <c r="J23" s="11">
        <f>I$4-I22</f>
        <v>-1125</v>
      </c>
    </row>
    <row r="24" spans="1:10" x14ac:dyDescent="0.2">
      <c r="A24" t="s">
        <v>71</v>
      </c>
      <c r="B24" s="11">
        <v>80</v>
      </c>
      <c r="C24" s="11">
        <v>160</v>
      </c>
      <c r="D24" s="11">
        <v>75</v>
      </c>
      <c r="E24" s="11">
        <v>280</v>
      </c>
      <c r="F24" s="11">
        <v>850</v>
      </c>
      <c r="G24" s="11">
        <v>325</v>
      </c>
      <c r="H24" s="11">
        <v>1600</v>
      </c>
      <c r="I24" s="11">
        <f>SUM(B23:H23)</f>
        <v>6025</v>
      </c>
      <c r="J24" s="11">
        <f>I$4-I23</f>
        <v>-2510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4"/>
  <sheetViews>
    <sheetView workbookViewId="0">
      <pane xSplit="2" ySplit="3" topLeftCell="W4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7.98046875" style="19" customWidth="1"/>
    <col min="2" max="2" width="18.0234375" style="19" customWidth="1"/>
    <col min="3" max="28" width="13.98828125" style="19" customWidth="1"/>
  </cols>
  <sheetData>
    <row r="1" spans="1:28" ht="18.75" customHeight="1" x14ac:dyDescent="0.25">
      <c r="A1" s="23" t="s">
        <v>72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21.95" customHeight="1" x14ac:dyDescent="0.2">
      <c r="C2" s="27" t="s">
        <v>13</v>
      </c>
      <c r="D2" s="28"/>
      <c r="E2" s="27" t="s">
        <v>15</v>
      </c>
      <c r="F2" s="28"/>
      <c r="G2" s="27" t="s">
        <v>17</v>
      </c>
      <c r="H2" s="28"/>
      <c r="I2" s="27" t="s">
        <v>19</v>
      </c>
      <c r="J2" s="28"/>
      <c r="K2" s="27" t="s">
        <v>21</v>
      </c>
      <c r="L2" s="28"/>
      <c r="M2" s="27" t="s">
        <v>23</v>
      </c>
      <c r="N2" s="28"/>
      <c r="O2" s="27" t="s">
        <v>25</v>
      </c>
      <c r="P2" s="28"/>
      <c r="Q2" s="27" t="s">
        <v>27</v>
      </c>
      <c r="R2" s="28"/>
      <c r="S2" s="27" t="s">
        <v>29</v>
      </c>
      <c r="T2" s="28"/>
      <c r="U2" s="27" t="s">
        <v>31</v>
      </c>
      <c r="V2" s="28"/>
      <c r="W2" s="27" t="s">
        <v>33</v>
      </c>
      <c r="X2" s="28"/>
      <c r="Y2" s="27" t="s">
        <v>35</v>
      </c>
      <c r="Z2" s="28"/>
      <c r="AA2" s="27" t="s">
        <v>37</v>
      </c>
      <c r="AB2" s="28"/>
    </row>
    <row r="3" spans="1:28" ht="20.100000000000001" customHeight="1" x14ac:dyDescent="0.2">
      <c r="A3" s="20" t="s">
        <v>41</v>
      </c>
      <c r="B3" s="20" t="s">
        <v>73</v>
      </c>
      <c r="C3" s="20" t="s">
        <v>74</v>
      </c>
      <c r="D3" s="20" t="s">
        <v>75</v>
      </c>
      <c r="E3" s="20" t="s">
        <v>74</v>
      </c>
      <c r="F3" s="20" t="s">
        <v>75</v>
      </c>
      <c r="G3" s="20" t="s">
        <v>74</v>
      </c>
      <c r="H3" s="20" t="s">
        <v>75</v>
      </c>
      <c r="I3" s="20" t="s">
        <v>74</v>
      </c>
      <c r="J3" s="20" t="s">
        <v>75</v>
      </c>
      <c r="K3" s="20" t="s">
        <v>74</v>
      </c>
      <c r="L3" s="20" t="s">
        <v>75</v>
      </c>
      <c r="M3" s="20" t="s">
        <v>74</v>
      </c>
      <c r="N3" s="20" t="s">
        <v>75</v>
      </c>
      <c r="O3" s="20" t="s">
        <v>74</v>
      </c>
      <c r="P3" s="20" t="s">
        <v>75</v>
      </c>
      <c r="Q3" s="20" t="s">
        <v>74</v>
      </c>
      <c r="R3" s="20" t="s">
        <v>75</v>
      </c>
      <c r="S3" s="20" t="s">
        <v>74</v>
      </c>
      <c r="T3" s="20" t="s">
        <v>75</v>
      </c>
      <c r="U3" s="20" t="s">
        <v>74</v>
      </c>
      <c r="V3" s="20" t="s">
        <v>75</v>
      </c>
      <c r="W3" s="20" t="s">
        <v>74</v>
      </c>
      <c r="X3" s="20" t="s">
        <v>75</v>
      </c>
      <c r="Y3" s="20" t="s">
        <v>74</v>
      </c>
      <c r="Z3" s="20" t="s">
        <v>75</v>
      </c>
      <c r="AA3" s="20" t="s">
        <v>74</v>
      </c>
      <c r="AB3" s="20" t="s">
        <v>75</v>
      </c>
    </row>
    <row r="4" spans="1:28" x14ac:dyDescent="0.2">
      <c r="A4" s="14" t="s">
        <v>51</v>
      </c>
      <c r="B4" s="15">
        <v>2980</v>
      </c>
      <c r="C4" s="15">
        <v>14060</v>
      </c>
      <c r="D4" s="15">
        <v>11080</v>
      </c>
      <c r="E4" s="15">
        <v>14101</v>
      </c>
      <c r="F4" s="15">
        <v>11121</v>
      </c>
      <c r="G4" s="15">
        <v>14143</v>
      </c>
      <c r="H4" s="15">
        <v>11163</v>
      </c>
      <c r="I4" s="15">
        <v>14185</v>
      </c>
      <c r="J4" s="15">
        <v>11205</v>
      </c>
      <c r="K4" s="15">
        <v>14226</v>
      </c>
      <c r="L4" s="15">
        <v>11246</v>
      </c>
      <c r="M4" s="15">
        <v>14268</v>
      </c>
      <c r="N4" s="15">
        <v>11288</v>
      </c>
      <c r="O4" s="15">
        <v>14310</v>
      </c>
      <c r="P4" s="15">
        <v>11330</v>
      </c>
      <c r="Q4" s="15">
        <v>14348</v>
      </c>
      <c r="R4" s="15">
        <v>11368</v>
      </c>
      <c r="S4" s="15">
        <v>14385</v>
      </c>
      <c r="T4" s="15">
        <v>11405</v>
      </c>
      <c r="U4" s="15">
        <v>14422</v>
      </c>
      <c r="V4" s="15">
        <v>11442</v>
      </c>
      <c r="W4" s="15">
        <v>14460</v>
      </c>
      <c r="X4" s="15">
        <v>11480</v>
      </c>
      <c r="Y4" s="15">
        <v>14498</v>
      </c>
      <c r="Z4" s="15">
        <v>11518</v>
      </c>
      <c r="AA4" s="15">
        <v>14535</v>
      </c>
      <c r="AB4" s="15">
        <v>11555</v>
      </c>
    </row>
    <row r="5" spans="1:28" x14ac:dyDescent="0.2">
      <c r="A5" s="14" t="s">
        <v>52</v>
      </c>
      <c r="B5" s="15">
        <v>3420</v>
      </c>
      <c r="C5" s="15">
        <v>14060</v>
      </c>
      <c r="D5" s="15">
        <v>10640</v>
      </c>
      <c r="E5" s="15">
        <v>14101</v>
      </c>
      <c r="F5" s="15">
        <v>10681</v>
      </c>
      <c r="G5" s="15">
        <v>14143</v>
      </c>
      <c r="H5" s="15">
        <v>10723</v>
      </c>
      <c r="I5" s="15">
        <v>14185</v>
      </c>
      <c r="J5" s="15">
        <v>10765</v>
      </c>
      <c r="K5" s="15">
        <v>14226</v>
      </c>
      <c r="L5" s="15">
        <v>10806</v>
      </c>
      <c r="M5" s="15">
        <v>14268</v>
      </c>
      <c r="N5" s="15">
        <v>10848</v>
      </c>
      <c r="O5" s="15">
        <v>14310</v>
      </c>
      <c r="P5" s="15">
        <v>10890</v>
      </c>
      <c r="Q5" s="15">
        <v>14348</v>
      </c>
      <c r="R5" s="15">
        <v>10928</v>
      </c>
      <c r="S5" s="15">
        <v>14385</v>
      </c>
      <c r="T5" s="15">
        <v>10965</v>
      </c>
      <c r="U5" s="15">
        <v>14422</v>
      </c>
      <c r="V5" s="15">
        <v>11002</v>
      </c>
      <c r="W5" s="15">
        <v>14460</v>
      </c>
      <c r="X5" s="15">
        <v>11040</v>
      </c>
      <c r="Y5" s="15">
        <v>14498</v>
      </c>
      <c r="Z5" s="15">
        <v>11078</v>
      </c>
      <c r="AA5" s="15">
        <v>14535</v>
      </c>
      <c r="AB5" s="15">
        <v>11115</v>
      </c>
    </row>
    <row r="6" spans="1:28" x14ac:dyDescent="0.2">
      <c r="A6" s="14" t="s">
        <v>53</v>
      </c>
      <c r="B6" s="15">
        <v>4035</v>
      </c>
      <c r="C6" s="15">
        <v>14060</v>
      </c>
      <c r="D6" s="15">
        <v>10025</v>
      </c>
      <c r="E6" s="15">
        <v>14101</v>
      </c>
      <c r="F6" s="15">
        <v>10066</v>
      </c>
      <c r="G6" s="15">
        <v>14143</v>
      </c>
      <c r="H6" s="15">
        <v>10108</v>
      </c>
      <c r="I6" s="15">
        <v>14185</v>
      </c>
      <c r="J6" s="15">
        <v>10150</v>
      </c>
      <c r="K6" s="15">
        <v>14226</v>
      </c>
      <c r="L6" s="15">
        <v>10191</v>
      </c>
      <c r="M6" s="15">
        <v>14268</v>
      </c>
      <c r="N6" s="15">
        <v>10233</v>
      </c>
      <c r="O6" s="15">
        <v>14310</v>
      </c>
      <c r="P6" s="15">
        <v>10275</v>
      </c>
      <c r="Q6" s="15">
        <v>14348</v>
      </c>
      <c r="R6" s="15">
        <v>10313</v>
      </c>
      <c r="S6" s="15">
        <v>14385</v>
      </c>
      <c r="T6" s="15">
        <v>10350</v>
      </c>
      <c r="U6" s="15">
        <v>14422</v>
      </c>
      <c r="V6" s="15">
        <v>10387</v>
      </c>
      <c r="W6" s="15">
        <v>14460</v>
      </c>
      <c r="X6" s="15">
        <v>10425</v>
      </c>
      <c r="Y6" s="15">
        <v>14498</v>
      </c>
      <c r="Z6" s="15">
        <v>10463</v>
      </c>
      <c r="AA6" s="15">
        <v>14535</v>
      </c>
      <c r="AB6" s="15">
        <v>10500</v>
      </c>
    </row>
    <row r="7" spans="1:28" x14ac:dyDescent="0.2">
      <c r="A7" s="14" t="s">
        <v>54</v>
      </c>
      <c r="B7" s="15">
        <v>2450</v>
      </c>
      <c r="C7" s="15">
        <v>14060</v>
      </c>
      <c r="D7" s="15">
        <v>11610</v>
      </c>
      <c r="E7" s="15">
        <v>14101</v>
      </c>
      <c r="F7" s="15">
        <v>11651</v>
      </c>
      <c r="G7" s="15">
        <v>14143</v>
      </c>
      <c r="H7" s="15">
        <v>11693</v>
      </c>
      <c r="I7" s="15">
        <v>14185</v>
      </c>
      <c r="J7" s="15">
        <v>11735</v>
      </c>
      <c r="K7" s="15">
        <v>14226</v>
      </c>
      <c r="L7" s="15">
        <v>11776</v>
      </c>
      <c r="M7" s="15">
        <v>14268</v>
      </c>
      <c r="N7" s="15">
        <v>11818</v>
      </c>
      <c r="O7" s="15">
        <v>14310</v>
      </c>
      <c r="P7" s="15">
        <v>11860</v>
      </c>
      <c r="Q7" s="15">
        <v>14348</v>
      </c>
      <c r="R7" s="15">
        <v>11898</v>
      </c>
      <c r="S7" s="15">
        <v>14385</v>
      </c>
      <c r="T7" s="15">
        <v>11935</v>
      </c>
      <c r="U7" s="15">
        <v>14422</v>
      </c>
      <c r="V7" s="15">
        <v>11972</v>
      </c>
      <c r="W7" s="15">
        <v>14460</v>
      </c>
      <c r="X7" s="15">
        <v>12010</v>
      </c>
      <c r="Y7" s="15">
        <v>14498</v>
      </c>
      <c r="Z7" s="15">
        <v>12048</v>
      </c>
      <c r="AA7" s="15">
        <v>14535</v>
      </c>
      <c r="AB7" s="15">
        <v>12085</v>
      </c>
    </row>
    <row r="8" spans="1:28" x14ac:dyDescent="0.2">
      <c r="A8" s="14" t="s">
        <v>55</v>
      </c>
      <c r="B8" s="15">
        <v>3355</v>
      </c>
      <c r="C8" s="15">
        <v>14060</v>
      </c>
      <c r="D8" s="15">
        <v>10705</v>
      </c>
      <c r="E8" s="15">
        <v>14101</v>
      </c>
      <c r="F8" s="15">
        <v>10746</v>
      </c>
      <c r="G8" s="15">
        <v>14143</v>
      </c>
      <c r="H8" s="15">
        <v>10788</v>
      </c>
      <c r="I8" s="15">
        <v>14185</v>
      </c>
      <c r="J8" s="15">
        <v>10830</v>
      </c>
      <c r="K8" s="15">
        <v>14226</v>
      </c>
      <c r="L8" s="15">
        <v>10871</v>
      </c>
      <c r="M8" s="15">
        <v>14268</v>
      </c>
      <c r="N8" s="15">
        <v>10913</v>
      </c>
      <c r="O8" s="15">
        <v>14310</v>
      </c>
      <c r="P8" s="15">
        <v>10955</v>
      </c>
      <c r="Q8" s="15">
        <v>14348</v>
      </c>
      <c r="R8" s="15">
        <v>10993</v>
      </c>
      <c r="S8" s="15">
        <v>14385</v>
      </c>
      <c r="T8" s="15">
        <v>11030</v>
      </c>
      <c r="U8" s="15">
        <v>14422</v>
      </c>
      <c r="V8" s="15">
        <v>11067</v>
      </c>
      <c r="W8" s="15">
        <v>14460</v>
      </c>
      <c r="X8" s="15">
        <v>11105</v>
      </c>
      <c r="Y8" s="15">
        <v>14498</v>
      </c>
      <c r="Z8" s="15">
        <v>11143</v>
      </c>
      <c r="AA8" s="15">
        <v>14535</v>
      </c>
      <c r="AB8" s="15">
        <v>11180</v>
      </c>
    </row>
    <row r="9" spans="1:28" x14ac:dyDescent="0.2">
      <c r="A9" s="14" t="s">
        <v>56</v>
      </c>
      <c r="B9" s="15">
        <v>2185</v>
      </c>
      <c r="C9" s="15">
        <v>14060</v>
      </c>
      <c r="D9" s="15">
        <v>11875</v>
      </c>
      <c r="E9" s="15">
        <v>14101</v>
      </c>
      <c r="F9" s="15">
        <v>11916</v>
      </c>
      <c r="G9" s="15">
        <v>14143</v>
      </c>
      <c r="H9" s="15">
        <v>11958</v>
      </c>
      <c r="I9" s="15">
        <v>14185</v>
      </c>
      <c r="J9" s="15">
        <v>12000</v>
      </c>
      <c r="K9" s="15">
        <v>14226</v>
      </c>
      <c r="L9" s="15">
        <v>12041</v>
      </c>
      <c r="M9" s="15">
        <v>14268</v>
      </c>
      <c r="N9" s="15">
        <v>12083</v>
      </c>
      <c r="O9" s="15">
        <v>14310</v>
      </c>
      <c r="P9" s="15">
        <v>12125</v>
      </c>
      <c r="Q9" s="15">
        <v>14348</v>
      </c>
      <c r="R9" s="15">
        <v>12163</v>
      </c>
      <c r="S9" s="15">
        <v>14385</v>
      </c>
      <c r="T9" s="15">
        <v>12200</v>
      </c>
      <c r="U9" s="15">
        <v>14422</v>
      </c>
      <c r="V9" s="15">
        <v>12237</v>
      </c>
      <c r="W9" s="15">
        <v>14460</v>
      </c>
      <c r="X9" s="15">
        <v>12275</v>
      </c>
      <c r="Y9" s="15">
        <v>14498</v>
      </c>
      <c r="Z9" s="15">
        <v>12313</v>
      </c>
      <c r="AA9" s="15">
        <v>14535</v>
      </c>
      <c r="AB9" s="15">
        <v>12350</v>
      </c>
    </row>
    <row r="10" spans="1:28" x14ac:dyDescent="0.2">
      <c r="A10" s="14" t="s">
        <v>57</v>
      </c>
      <c r="B10" s="15">
        <v>2965</v>
      </c>
      <c r="C10" s="15">
        <v>14060</v>
      </c>
      <c r="D10" s="15">
        <v>11095</v>
      </c>
      <c r="E10" s="15">
        <v>14101</v>
      </c>
      <c r="F10" s="15">
        <v>11136</v>
      </c>
      <c r="G10" s="15">
        <v>14143</v>
      </c>
      <c r="H10" s="15">
        <v>11178</v>
      </c>
      <c r="I10" s="15">
        <v>14185</v>
      </c>
      <c r="J10" s="15">
        <v>11220</v>
      </c>
      <c r="K10" s="15">
        <v>14226</v>
      </c>
      <c r="L10" s="15">
        <v>11261</v>
      </c>
      <c r="M10" s="15">
        <v>14268</v>
      </c>
      <c r="N10" s="15">
        <v>11303</v>
      </c>
      <c r="O10" s="15">
        <v>14310</v>
      </c>
      <c r="P10" s="15">
        <v>11345</v>
      </c>
      <c r="Q10" s="15">
        <v>14348</v>
      </c>
      <c r="R10" s="15">
        <v>11383</v>
      </c>
      <c r="S10" s="15">
        <v>14385</v>
      </c>
      <c r="T10" s="15">
        <v>11420</v>
      </c>
      <c r="U10" s="15">
        <v>14422</v>
      </c>
      <c r="V10" s="15">
        <v>11457</v>
      </c>
      <c r="W10" s="15">
        <v>14460</v>
      </c>
      <c r="X10" s="15">
        <v>11495</v>
      </c>
      <c r="Y10" s="15">
        <v>14498</v>
      </c>
      <c r="Z10" s="15">
        <v>11533</v>
      </c>
      <c r="AA10" s="15">
        <v>14535</v>
      </c>
      <c r="AB10" s="15">
        <v>11570</v>
      </c>
    </row>
    <row r="11" spans="1:28" x14ac:dyDescent="0.2">
      <c r="A11" s="14" t="s">
        <v>58</v>
      </c>
      <c r="B11" s="15">
        <v>3575</v>
      </c>
      <c r="C11" s="15">
        <v>14060</v>
      </c>
      <c r="D11" s="15">
        <v>10485</v>
      </c>
      <c r="E11" s="15">
        <v>14101</v>
      </c>
      <c r="F11" s="15">
        <v>10526</v>
      </c>
      <c r="G11" s="15">
        <v>14143</v>
      </c>
      <c r="H11" s="15">
        <v>10568</v>
      </c>
      <c r="I11" s="15">
        <v>14185</v>
      </c>
      <c r="J11" s="15">
        <v>10610</v>
      </c>
      <c r="K11" s="15">
        <v>14226</v>
      </c>
      <c r="L11" s="15">
        <v>10651</v>
      </c>
      <c r="M11" s="15">
        <v>14268</v>
      </c>
      <c r="N11" s="15">
        <v>10693</v>
      </c>
      <c r="O11" s="15">
        <v>14310</v>
      </c>
      <c r="P11" s="15">
        <v>10735</v>
      </c>
      <c r="Q11" s="15">
        <v>14348</v>
      </c>
      <c r="R11" s="15">
        <v>10773</v>
      </c>
      <c r="S11" s="15">
        <v>14385</v>
      </c>
      <c r="T11" s="15">
        <v>10810</v>
      </c>
      <c r="U11" s="15">
        <v>14422</v>
      </c>
      <c r="V11" s="15">
        <v>10847</v>
      </c>
      <c r="W11" s="15">
        <v>14460</v>
      </c>
      <c r="X11" s="15">
        <v>10885</v>
      </c>
      <c r="Y11" s="15">
        <v>14498</v>
      </c>
      <c r="Z11" s="15">
        <v>10923</v>
      </c>
      <c r="AA11" s="15">
        <v>14535</v>
      </c>
      <c r="AB11" s="15">
        <v>10960</v>
      </c>
    </row>
    <row r="12" spans="1:28" x14ac:dyDescent="0.2">
      <c r="A12" s="14" t="s">
        <v>59</v>
      </c>
      <c r="B12" s="15">
        <v>4230</v>
      </c>
      <c r="C12" s="15">
        <v>14060</v>
      </c>
      <c r="D12" s="15">
        <v>9830</v>
      </c>
      <c r="E12" s="15">
        <v>14101</v>
      </c>
      <c r="F12" s="15">
        <v>9871</v>
      </c>
      <c r="G12" s="15">
        <v>14143</v>
      </c>
      <c r="H12" s="15">
        <v>9913</v>
      </c>
      <c r="I12" s="15">
        <v>14185</v>
      </c>
      <c r="J12" s="15">
        <v>9955</v>
      </c>
      <c r="K12" s="15">
        <v>14226</v>
      </c>
      <c r="L12" s="15">
        <v>9996</v>
      </c>
      <c r="M12" s="15">
        <v>14268</v>
      </c>
      <c r="N12" s="15">
        <v>10038</v>
      </c>
      <c r="O12" s="15">
        <v>14310</v>
      </c>
      <c r="P12" s="15">
        <v>10080</v>
      </c>
      <c r="Q12" s="15">
        <v>14348</v>
      </c>
      <c r="R12" s="15">
        <v>10118</v>
      </c>
      <c r="S12" s="15">
        <v>14385</v>
      </c>
      <c r="T12" s="15">
        <v>10155</v>
      </c>
      <c r="U12" s="15">
        <v>14422</v>
      </c>
      <c r="V12" s="15">
        <v>10192</v>
      </c>
      <c r="W12" s="15">
        <v>14460</v>
      </c>
      <c r="X12" s="15">
        <v>10230</v>
      </c>
      <c r="Y12" s="15">
        <v>14498</v>
      </c>
      <c r="Z12" s="15">
        <v>10268</v>
      </c>
      <c r="AA12" s="15">
        <v>14535</v>
      </c>
      <c r="AB12" s="15">
        <v>10305</v>
      </c>
    </row>
    <row r="13" spans="1:28" x14ac:dyDescent="0.2">
      <c r="A13" s="14" t="s">
        <v>60</v>
      </c>
      <c r="B13" s="15">
        <v>3285</v>
      </c>
      <c r="C13" s="15">
        <v>14060</v>
      </c>
      <c r="D13" s="15">
        <v>10775</v>
      </c>
      <c r="E13" s="15">
        <v>14101</v>
      </c>
      <c r="F13" s="15">
        <v>10816</v>
      </c>
      <c r="G13" s="15">
        <v>14143</v>
      </c>
      <c r="H13" s="15">
        <v>10858</v>
      </c>
      <c r="I13" s="15">
        <v>14185</v>
      </c>
      <c r="J13" s="15">
        <v>10900</v>
      </c>
      <c r="K13" s="15">
        <v>14226</v>
      </c>
      <c r="L13" s="15">
        <v>10941</v>
      </c>
      <c r="M13" s="15">
        <v>14268</v>
      </c>
      <c r="N13" s="15">
        <v>10983</v>
      </c>
      <c r="O13" s="15">
        <v>14310</v>
      </c>
      <c r="P13" s="15">
        <v>11025</v>
      </c>
      <c r="Q13" s="15">
        <v>14348</v>
      </c>
      <c r="R13" s="15">
        <v>11063</v>
      </c>
      <c r="S13" s="15">
        <v>14385</v>
      </c>
      <c r="T13" s="15">
        <v>11100</v>
      </c>
      <c r="U13" s="15">
        <v>14422</v>
      </c>
      <c r="V13" s="15">
        <v>11137</v>
      </c>
      <c r="W13" s="15">
        <v>14460</v>
      </c>
      <c r="X13" s="15">
        <v>11175</v>
      </c>
      <c r="Y13" s="15">
        <v>14498</v>
      </c>
      <c r="Z13" s="15">
        <v>11213</v>
      </c>
      <c r="AA13" s="15">
        <v>14535</v>
      </c>
      <c r="AB13" s="15">
        <v>11250</v>
      </c>
    </row>
    <row r="14" spans="1:28" x14ac:dyDescent="0.2">
      <c r="A14" s="14" t="s">
        <v>61</v>
      </c>
      <c r="B14" s="15">
        <v>2215</v>
      </c>
      <c r="C14" s="15">
        <v>14060</v>
      </c>
      <c r="D14" s="15">
        <v>11845</v>
      </c>
      <c r="E14" s="15">
        <v>14101</v>
      </c>
      <c r="F14" s="15">
        <v>11886</v>
      </c>
      <c r="G14" s="15">
        <v>14143</v>
      </c>
      <c r="H14" s="15">
        <v>11928</v>
      </c>
      <c r="I14" s="15">
        <v>14185</v>
      </c>
      <c r="J14" s="15">
        <v>11970</v>
      </c>
      <c r="K14" s="15">
        <v>14226</v>
      </c>
      <c r="L14" s="15">
        <v>12011</v>
      </c>
      <c r="M14" s="15">
        <v>14268</v>
      </c>
      <c r="N14" s="15">
        <v>12053</v>
      </c>
      <c r="O14" s="15">
        <v>14310</v>
      </c>
      <c r="P14" s="15">
        <v>12095</v>
      </c>
      <c r="Q14" s="15">
        <v>14348</v>
      </c>
      <c r="R14" s="15">
        <v>12133</v>
      </c>
      <c r="S14" s="15">
        <v>14385</v>
      </c>
      <c r="T14" s="15">
        <v>12170</v>
      </c>
      <c r="U14" s="15">
        <v>14422</v>
      </c>
      <c r="V14" s="15">
        <v>12207</v>
      </c>
      <c r="W14" s="15">
        <v>14460</v>
      </c>
      <c r="X14" s="15">
        <v>12245</v>
      </c>
      <c r="Y14" s="15">
        <v>14498</v>
      </c>
      <c r="Z14" s="15">
        <v>12283</v>
      </c>
      <c r="AA14" s="15">
        <v>14535</v>
      </c>
      <c r="AB14" s="15">
        <v>12320</v>
      </c>
    </row>
    <row r="15" spans="1:28" x14ac:dyDescent="0.2">
      <c r="A15" s="14" t="s">
        <v>62</v>
      </c>
      <c r="B15" s="15">
        <v>2140</v>
      </c>
      <c r="C15" s="15">
        <v>14060</v>
      </c>
      <c r="D15" s="15">
        <v>11920</v>
      </c>
      <c r="E15" s="15">
        <v>14101</v>
      </c>
      <c r="F15" s="15">
        <v>11961</v>
      </c>
      <c r="G15" s="15">
        <v>14143</v>
      </c>
      <c r="H15" s="15">
        <v>12003</v>
      </c>
      <c r="I15" s="15">
        <v>14185</v>
      </c>
      <c r="J15" s="15">
        <v>12045</v>
      </c>
      <c r="K15" s="15">
        <v>14226</v>
      </c>
      <c r="L15" s="15">
        <v>12086</v>
      </c>
      <c r="M15" s="15">
        <v>14268</v>
      </c>
      <c r="N15" s="15">
        <v>12128</v>
      </c>
      <c r="O15" s="15">
        <v>14310</v>
      </c>
      <c r="P15" s="15">
        <v>12170</v>
      </c>
      <c r="Q15" s="15">
        <v>14348</v>
      </c>
      <c r="R15" s="15">
        <v>12208</v>
      </c>
      <c r="S15" s="15">
        <v>14385</v>
      </c>
      <c r="T15" s="15">
        <v>12245</v>
      </c>
      <c r="U15" s="15">
        <v>14422</v>
      </c>
      <c r="V15" s="15">
        <v>12282</v>
      </c>
      <c r="W15" s="15">
        <v>14460</v>
      </c>
      <c r="X15" s="15">
        <v>12320</v>
      </c>
      <c r="Y15" s="15">
        <v>14498</v>
      </c>
      <c r="Z15" s="15">
        <v>12358</v>
      </c>
      <c r="AA15" s="15">
        <v>14535</v>
      </c>
      <c r="AB15" s="15">
        <v>12395</v>
      </c>
    </row>
    <row r="16" spans="1:28" x14ac:dyDescent="0.2">
      <c r="A16" s="14" t="s">
        <v>63</v>
      </c>
      <c r="B16" s="15">
        <v>2405</v>
      </c>
      <c r="C16" s="15">
        <v>14060</v>
      </c>
      <c r="D16" s="15">
        <v>11655</v>
      </c>
      <c r="E16" s="15">
        <v>14101</v>
      </c>
      <c r="F16" s="15">
        <v>11696</v>
      </c>
      <c r="G16" s="15">
        <v>14143</v>
      </c>
      <c r="H16" s="15">
        <v>11738</v>
      </c>
      <c r="I16" s="15">
        <v>14185</v>
      </c>
      <c r="J16" s="15">
        <v>11780</v>
      </c>
      <c r="K16" s="15">
        <v>14226</v>
      </c>
      <c r="L16" s="15">
        <v>11821</v>
      </c>
      <c r="M16" s="15">
        <v>14268</v>
      </c>
      <c r="N16" s="15">
        <v>11863</v>
      </c>
      <c r="O16" s="15">
        <v>14310</v>
      </c>
      <c r="P16" s="15">
        <v>11905</v>
      </c>
      <c r="Q16" s="15">
        <v>14348</v>
      </c>
      <c r="R16" s="15">
        <v>11943</v>
      </c>
      <c r="S16" s="15">
        <v>14385</v>
      </c>
      <c r="T16" s="15">
        <v>11980</v>
      </c>
      <c r="U16" s="15">
        <v>14422</v>
      </c>
      <c r="V16" s="15">
        <v>12017</v>
      </c>
      <c r="W16" s="15">
        <v>14460</v>
      </c>
      <c r="X16" s="15">
        <v>12055</v>
      </c>
      <c r="Y16" s="15">
        <v>14498</v>
      </c>
      <c r="Z16" s="15">
        <v>12093</v>
      </c>
      <c r="AA16" s="15">
        <v>14535</v>
      </c>
      <c r="AB16" s="15">
        <v>12130</v>
      </c>
    </row>
    <row r="17" spans="1:28" x14ac:dyDescent="0.2">
      <c r="A17" s="14" t="s">
        <v>64</v>
      </c>
      <c r="B17" s="15">
        <v>2610</v>
      </c>
      <c r="C17" s="15">
        <v>14060</v>
      </c>
      <c r="D17" s="15">
        <v>11450</v>
      </c>
      <c r="E17" s="15">
        <v>14101</v>
      </c>
      <c r="F17" s="15">
        <v>11491</v>
      </c>
      <c r="G17" s="15">
        <v>14143</v>
      </c>
      <c r="H17" s="15">
        <v>11533</v>
      </c>
      <c r="I17" s="15">
        <v>14185</v>
      </c>
      <c r="J17" s="15">
        <v>11575</v>
      </c>
      <c r="K17" s="15">
        <v>14226</v>
      </c>
      <c r="L17" s="15">
        <v>11616</v>
      </c>
      <c r="M17" s="15">
        <v>14268</v>
      </c>
      <c r="N17" s="15">
        <v>11658</v>
      </c>
      <c r="O17" s="15">
        <v>14310</v>
      </c>
      <c r="P17" s="15">
        <v>11700</v>
      </c>
      <c r="Q17" s="15">
        <v>14348</v>
      </c>
      <c r="R17" s="15">
        <v>11738</v>
      </c>
      <c r="S17" s="15">
        <v>14385</v>
      </c>
      <c r="T17" s="15">
        <v>11775</v>
      </c>
      <c r="U17" s="15">
        <v>14422</v>
      </c>
      <c r="V17" s="15">
        <v>11812</v>
      </c>
      <c r="W17" s="15">
        <v>14460</v>
      </c>
      <c r="X17" s="15">
        <v>11850</v>
      </c>
      <c r="Y17" s="15">
        <v>14498</v>
      </c>
      <c r="Z17" s="15">
        <v>11888</v>
      </c>
      <c r="AA17" s="15">
        <v>14535</v>
      </c>
      <c r="AB17" s="15">
        <v>11925</v>
      </c>
    </row>
    <row r="18" spans="1:28" x14ac:dyDescent="0.2">
      <c r="A18" s="14" t="s">
        <v>65</v>
      </c>
      <c r="B18" s="15">
        <v>2430</v>
      </c>
      <c r="C18" s="15">
        <v>14060</v>
      </c>
      <c r="D18" s="15">
        <v>11630</v>
      </c>
      <c r="E18" s="15">
        <v>14101</v>
      </c>
      <c r="F18" s="15">
        <v>11671</v>
      </c>
      <c r="G18" s="15">
        <v>14143</v>
      </c>
      <c r="H18" s="15">
        <v>11713</v>
      </c>
      <c r="I18" s="15">
        <v>14185</v>
      </c>
      <c r="J18" s="15">
        <v>11755</v>
      </c>
      <c r="K18" s="15">
        <v>14226</v>
      </c>
      <c r="L18" s="15">
        <v>11796</v>
      </c>
      <c r="M18" s="15">
        <v>14268</v>
      </c>
      <c r="N18" s="15">
        <v>11838</v>
      </c>
      <c r="O18" s="15">
        <v>14310</v>
      </c>
      <c r="P18" s="15">
        <v>11880</v>
      </c>
      <c r="Q18" s="15">
        <v>14348</v>
      </c>
      <c r="R18" s="15">
        <v>11918</v>
      </c>
      <c r="S18" s="15">
        <v>14385</v>
      </c>
      <c r="T18" s="15">
        <v>11955</v>
      </c>
      <c r="U18" s="15">
        <v>14422</v>
      </c>
      <c r="V18" s="15">
        <v>11992</v>
      </c>
      <c r="W18" s="15">
        <v>14460</v>
      </c>
      <c r="X18" s="15">
        <v>12030</v>
      </c>
      <c r="Y18" s="15">
        <v>14498</v>
      </c>
      <c r="Z18" s="15">
        <v>12068</v>
      </c>
      <c r="AA18" s="15">
        <v>14535</v>
      </c>
      <c r="AB18" s="15">
        <v>12105</v>
      </c>
    </row>
    <row r="19" spans="1:28" x14ac:dyDescent="0.2">
      <c r="A19" s="14" t="s">
        <v>66</v>
      </c>
      <c r="B19" s="15">
        <v>3250</v>
      </c>
      <c r="C19" s="15">
        <v>14060</v>
      </c>
      <c r="D19" s="15">
        <v>10810</v>
      </c>
      <c r="E19" s="15">
        <v>14101</v>
      </c>
      <c r="F19" s="15">
        <v>10851</v>
      </c>
      <c r="G19" s="15">
        <v>14143</v>
      </c>
      <c r="H19" s="15">
        <v>10893</v>
      </c>
      <c r="I19" s="15">
        <v>14185</v>
      </c>
      <c r="J19" s="15">
        <v>10935</v>
      </c>
      <c r="K19" s="15">
        <v>14226</v>
      </c>
      <c r="L19" s="15">
        <v>10976</v>
      </c>
      <c r="M19" s="15">
        <v>14268</v>
      </c>
      <c r="N19" s="15">
        <v>11018</v>
      </c>
      <c r="O19" s="15">
        <v>14310</v>
      </c>
      <c r="P19" s="15">
        <v>11060</v>
      </c>
      <c r="Q19" s="15">
        <v>14348</v>
      </c>
      <c r="R19" s="15">
        <v>11098</v>
      </c>
      <c r="S19" s="15">
        <v>14385</v>
      </c>
      <c r="T19" s="15">
        <v>11135</v>
      </c>
      <c r="U19" s="15">
        <v>14422</v>
      </c>
      <c r="V19" s="15">
        <v>11172</v>
      </c>
      <c r="W19" s="15">
        <v>14460</v>
      </c>
      <c r="X19" s="15">
        <v>11210</v>
      </c>
      <c r="Y19" s="15">
        <v>14498</v>
      </c>
      <c r="Z19" s="15">
        <v>11248</v>
      </c>
      <c r="AA19" s="15">
        <v>14535</v>
      </c>
      <c r="AB19" s="15">
        <v>11285</v>
      </c>
    </row>
    <row r="20" spans="1:28" x14ac:dyDescent="0.2">
      <c r="A20" s="14" t="s">
        <v>67</v>
      </c>
      <c r="B20" s="15">
        <v>4590</v>
      </c>
      <c r="C20" s="15">
        <v>14060</v>
      </c>
      <c r="D20" s="15">
        <v>9470</v>
      </c>
      <c r="E20" s="15">
        <v>14101</v>
      </c>
      <c r="F20" s="15">
        <v>9511</v>
      </c>
      <c r="G20" s="15">
        <v>14143</v>
      </c>
      <c r="H20" s="15">
        <v>9553</v>
      </c>
      <c r="I20" s="15">
        <v>14185</v>
      </c>
      <c r="J20" s="15">
        <v>9595</v>
      </c>
      <c r="K20" s="15">
        <v>14226</v>
      </c>
      <c r="L20" s="15">
        <v>9636</v>
      </c>
      <c r="M20" s="15">
        <v>14268</v>
      </c>
      <c r="N20" s="15">
        <v>9678</v>
      </c>
      <c r="O20" s="15">
        <v>14310</v>
      </c>
      <c r="P20" s="15">
        <v>9720</v>
      </c>
      <c r="Q20" s="15">
        <v>14348</v>
      </c>
      <c r="R20" s="15">
        <v>9758</v>
      </c>
      <c r="S20" s="15">
        <v>14385</v>
      </c>
      <c r="T20" s="15">
        <v>9795</v>
      </c>
      <c r="U20" s="15">
        <v>14422</v>
      </c>
      <c r="V20" s="15">
        <v>9832</v>
      </c>
      <c r="W20" s="15">
        <v>14460</v>
      </c>
      <c r="X20" s="15">
        <v>9870</v>
      </c>
      <c r="Y20" s="15">
        <v>14498</v>
      </c>
      <c r="Z20" s="15">
        <v>9908</v>
      </c>
      <c r="AA20" s="15">
        <v>14535</v>
      </c>
      <c r="AB20" s="15">
        <v>9945</v>
      </c>
    </row>
    <row r="21" spans="1:28" x14ac:dyDescent="0.2">
      <c r="A21" s="14" t="s">
        <v>68</v>
      </c>
      <c r="B21" s="15">
        <v>4105</v>
      </c>
      <c r="C21" s="15">
        <v>14060</v>
      </c>
      <c r="D21" s="15">
        <v>9955</v>
      </c>
      <c r="E21" s="15">
        <v>14101</v>
      </c>
      <c r="F21" s="15">
        <v>9996</v>
      </c>
      <c r="G21" s="15">
        <v>14143</v>
      </c>
      <c r="H21" s="15">
        <v>10038</v>
      </c>
      <c r="I21" s="15">
        <v>14185</v>
      </c>
      <c r="J21" s="15">
        <v>10080</v>
      </c>
      <c r="K21" s="15">
        <v>14226</v>
      </c>
      <c r="L21" s="15">
        <v>10121</v>
      </c>
      <c r="M21" s="15">
        <v>14268</v>
      </c>
      <c r="N21" s="15">
        <v>10163</v>
      </c>
      <c r="O21" s="15">
        <v>14310</v>
      </c>
      <c r="P21" s="15">
        <v>10205</v>
      </c>
      <c r="Q21" s="15">
        <v>14348</v>
      </c>
      <c r="R21" s="15">
        <v>10243</v>
      </c>
      <c r="S21" s="15">
        <v>14385</v>
      </c>
      <c r="T21" s="15">
        <v>10280</v>
      </c>
      <c r="U21" s="15">
        <v>14422</v>
      </c>
      <c r="V21" s="15">
        <v>10317</v>
      </c>
      <c r="W21" s="15">
        <v>14460</v>
      </c>
      <c r="X21" s="15">
        <v>10355</v>
      </c>
      <c r="Y21" s="15">
        <v>14498</v>
      </c>
      <c r="Z21" s="15">
        <v>10393</v>
      </c>
      <c r="AA21" s="15">
        <v>14535</v>
      </c>
      <c r="AB21" s="15">
        <v>10430</v>
      </c>
    </row>
    <row r="22" spans="1:28" x14ac:dyDescent="0.2">
      <c r="A22" s="14" t="s">
        <v>69</v>
      </c>
      <c r="B22" s="15">
        <v>5490</v>
      </c>
      <c r="C22" s="15">
        <v>14060</v>
      </c>
      <c r="D22" s="15">
        <v>8570</v>
      </c>
      <c r="E22" s="15">
        <v>14101</v>
      </c>
      <c r="F22" s="15">
        <v>8611</v>
      </c>
      <c r="G22" s="15">
        <v>14143</v>
      </c>
      <c r="H22" s="15">
        <v>8653</v>
      </c>
      <c r="I22" s="15">
        <v>14185</v>
      </c>
      <c r="J22" s="15">
        <v>8695</v>
      </c>
      <c r="K22" s="15">
        <v>14226</v>
      </c>
      <c r="L22" s="15">
        <v>8736</v>
      </c>
      <c r="M22" s="15">
        <v>14268</v>
      </c>
      <c r="N22" s="15">
        <v>8778</v>
      </c>
      <c r="O22" s="15">
        <v>14310</v>
      </c>
      <c r="P22" s="15">
        <v>8820</v>
      </c>
      <c r="Q22" s="15">
        <v>14348</v>
      </c>
      <c r="R22" s="15">
        <v>8858</v>
      </c>
      <c r="S22" s="15">
        <v>14385</v>
      </c>
      <c r="T22" s="15">
        <v>8895</v>
      </c>
      <c r="U22" s="15">
        <v>14422</v>
      </c>
      <c r="V22" s="15">
        <v>8932</v>
      </c>
      <c r="W22" s="15">
        <v>14460</v>
      </c>
      <c r="X22" s="15">
        <v>8970</v>
      </c>
      <c r="Y22" s="15">
        <v>14498</v>
      </c>
      <c r="Z22" s="15">
        <v>9008</v>
      </c>
      <c r="AA22" s="15">
        <v>14535</v>
      </c>
      <c r="AB22" s="15">
        <v>9045</v>
      </c>
    </row>
    <row r="23" spans="1:28" x14ac:dyDescent="0.2">
      <c r="A23" s="14" t="s">
        <v>70</v>
      </c>
      <c r="B23" s="15">
        <v>6025</v>
      </c>
      <c r="C23" s="15">
        <v>14060</v>
      </c>
      <c r="D23" s="15">
        <v>8035</v>
      </c>
      <c r="E23" s="15">
        <v>14101</v>
      </c>
      <c r="F23" s="15">
        <v>8076</v>
      </c>
      <c r="G23" s="15">
        <v>14143</v>
      </c>
      <c r="H23" s="15">
        <v>8118</v>
      </c>
      <c r="I23" s="15">
        <v>14185</v>
      </c>
      <c r="J23" s="15">
        <v>8160</v>
      </c>
      <c r="K23" s="15">
        <v>14226</v>
      </c>
      <c r="L23" s="15">
        <v>8201</v>
      </c>
      <c r="M23" s="15">
        <v>14268</v>
      </c>
      <c r="N23" s="15">
        <v>8243</v>
      </c>
      <c r="O23" s="15">
        <v>14310</v>
      </c>
      <c r="P23" s="15">
        <v>8285</v>
      </c>
      <c r="Q23" s="15">
        <v>14348</v>
      </c>
      <c r="R23" s="15">
        <v>8323</v>
      </c>
      <c r="S23" s="15">
        <v>14385</v>
      </c>
      <c r="T23" s="15">
        <v>8360</v>
      </c>
      <c r="U23" s="15">
        <v>14422</v>
      </c>
      <c r="V23" s="15">
        <v>8397</v>
      </c>
      <c r="W23" s="15">
        <v>14460</v>
      </c>
      <c r="X23" s="15">
        <v>8435</v>
      </c>
      <c r="Y23" s="15">
        <v>14498</v>
      </c>
      <c r="Z23" s="15">
        <v>8473</v>
      </c>
      <c r="AA23" s="15">
        <v>14535</v>
      </c>
      <c r="AB23" s="15">
        <v>8510</v>
      </c>
    </row>
    <row r="24" spans="1:28" x14ac:dyDescent="0.2">
      <c r="A24" s="14" t="s">
        <v>71</v>
      </c>
      <c r="B24" s="15">
        <v>3370</v>
      </c>
      <c r="C24" s="15">
        <v>14060</v>
      </c>
      <c r="D24" s="15">
        <v>10690</v>
      </c>
      <c r="E24" s="15">
        <v>14101</v>
      </c>
      <c r="F24" s="15">
        <v>10731</v>
      </c>
      <c r="G24" s="15">
        <v>14143</v>
      </c>
      <c r="H24" s="15">
        <v>10773</v>
      </c>
      <c r="I24" s="15">
        <v>14185</v>
      </c>
      <c r="J24" s="15">
        <v>10815</v>
      </c>
      <c r="K24" s="15">
        <v>14226</v>
      </c>
      <c r="L24" s="15">
        <v>10856</v>
      </c>
      <c r="M24" s="15">
        <v>14268</v>
      </c>
      <c r="N24" s="15">
        <v>10898</v>
      </c>
      <c r="O24" s="15">
        <v>14310</v>
      </c>
      <c r="P24" s="15">
        <v>10940</v>
      </c>
      <c r="Q24" s="15">
        <v>14348</v>
      </c>
      <c r="R24" s="15">
        <v>10978</v>
      </c>
      <c r="S24" s="15">
        <v>14385</v>
      </c>
      <c r="T24" s="15">
        <v>11015</v>
      </c>
      <c r="U24" s="15">
        <v>14422</v>
      </c>
      <c r="V24" s="15">
        <v>11052</v>
      </c>
      <c r="W24" s="15">
        <v>14460</v>
      </c>
      <c r="X24" s="15">
        <v>11090</v>
      </c>
      <c r="Y24" s="15">
        <v>14498</v>
      </c>
      <c r="Z24" s="15">
        <v>11128</v>
      </c>
      <c r="AA24" s="15">
        <v>14535</v>
      </c>
      <c r="AB24" s="15">
        <v>11165</v>
      </c>
    </row>
  </sheetData>
  <mergeCells count="14">
    <mergeCell ref="A1:AB1"/>
    <mergeCell ref="C2:D2"/>
    <mergeCell ref="G2:H2"/>
    <mergeCell ref="E2:F2"/>
    <mergeCell ref="AA2:AB2"/>
    <mergeCell ref="Y2:Z2"/>
    <mergeCell ref="K2:L2"/>
    <mergeCell ref="I2:J2"/>
    <mergeCell ref="O2:P2"/>
    <mergeCell ref="M2:N2"/>
    <mergeCell ref="S2:T2"/>
    <mergeCell ref="Q2:R2"/>
    <mergeCell ref="W2:X2"/>
    <mergeCell ref="U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workbookViewId="0">
      <pane xSplit="2" ySplit="3" topLeftCell="C4" activePane="bottomRight" state="frozen"/>
      <selection pane="bottomLeft"/>
      <selection pane="topRight"/>
      <selection pane="bottomRight" activeCell="A16" sqref="A16"/>
    </sheetView>
  </sheetViews>
  <sheetFormatPr defaultRowHeight="15" x14ac:dyDescent="0.2"/>
  <cols>
    <col min="1" max="1" width="18.5625" style="19" customWidth="1"/>
    <col min="2" max="2" width="15.87109375" style="19" bestFit="1" customWidth="1"/>
    <col min="3" max="15" width="18.0234375" style="19" customWidth="1"/>
    <col min="16" max="16" width="45.0625" style="19" customWidth="1"/>
  </cols>
  <sheetData>
    <row r="1" spans="1:16" ht="18.75" customHeight="1" x14ac:dyDescent="0.25">
      <c r="A1" s="23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3" spans="1:16" x14ac:dyDescent="0.2">
      <c r="A3" s="18" t="s">
        <v>41</v>
      </c>
      <c r="B3" s="18" t="s">
        <v>73</v>
      </c>
      <c r="C3" s="16" t="s">
        <v>13</v>
      </c>
      <c r="D3" s="16" t="s">
        <v>15</v>
      </c>
      <c r="E3" s="16" t="s">
        <v>17</v>
      </c>
      <c r="F3" s="16" t="s">
        <v>19</v>
      </c>
      <c r="G3" s="16" t="s">
        <v>21</v>
      </c>
      <c r="H3" s="16" t="s">
        <v>23</v>
      </c>
      <c r="I3" s="16" t="s">
        <v>25</v>
      </c>
      <c r="J3" s="16" t="s">
        <v>27</v>
      </c>
      <c r="K3" s="16" t="s">
        <v>29</v>
      </c>
      <c r="L3" s="16" t="s">
        <v>31</v>
      </c>
      <c r="M3" s="16" t="s">
        <v>33</v>
      </c>
      <c r="N3" s="16" t="s">
        <v>35</v>
      </c>
      <c r="O3" s="16" t="s">
        <v>37</v>
      </c>
      <c r="P3" s="21" t="s">
        <v>77</v>
      </c>
    </row>
    <row r="4" spans="1:16" ht="27.75" x14ac:dyDescent="0.2">
      <c r="A4" t="s">
        <v>51</v>
      </c>
      <c r="B4" s="11">
        <v>2980</v>
      </c>
      <c r="C4" s="11">
        <v>11080</v>
      </c>
      <c r="D4" s="11">
        <v>11121</v>
      </c>
      <c r="E4" s="11">
        <v>11163</v>
      </c>
      <c r="F4" s="11">
        <v>11205</v>
      </c>
      <c r="G4" s="11">
        <v>11246</v>
      </c>
      <c r="H4" s="11">
        <v>11288</v>
      </c>
      <c r="I4" s="11">
        <v>11330</v>
      </c>
      <c r="J4" s="11">
        <v>11368</v>
      </c>
      <c r="K4" s="11">
        <v>11405</v>
      </c>
      <c r="L4" s="11">
        <v>11442</v>
      </c>
      <c r="M4" s="11">
        <v>11480</v>
      </c>
      <c r="N4" s="11">
        <v>11518</v>
      </c>
      <c r="O4" s="11">
        <v>11555</v>
      </c>
      <c r="P4" s="22" t="s">
        <v>78</v>
      </c>
    </row>
    <row r="5" spans="1:16" ht="27.75" x14ac:dyDescent="0.2">
      <c r="A5" t="s">
        <v>52</v>
      </c>
      <c r="B5" s="11">
        <v>3420</v>
      </c>
      <c r="C5" s="11">
        <v>10640</v>
      </c>
      <c r="D5" s="11">
        <v>10681</v>
      </c>
      <c r="E5" s="11">
        <v>10723</v>
      </c>
      <c r="F5" s="11">
        <v>10765</v>
      </c>
      <c r="G5" s="11">
        <v>10806</v>
      </c>
      <c r="H5" s="11">
        <v>10848</v>
      </c>
      <c r="I5" s="11">
        <v>10890</v>
      </c>
      <c r="J5" s="11">
        <v>10928</v>
      </c>
      <c r="K5" s="11">
        <v>10965</v>
      </c>
      <c r="L5" s="11">
        <v>11002</v>
      </c>
      <c r="M5" s="11">
        <v>11040</v>
      </c>
      <c r="N5" s="11">
        <v>11078</v>
      </c>
      <c r="O5" s="11">
        <v>11115</v>
      </c>
      <c r="P5" s="22" t="s">
        <v>78</v>
      </c>
    </row>
    <row r="6" spans="1:16" ht="27.75" x14ac:dyDescent="0.2">
      <c r="A6" t="s">
        <v>53</v>
      </c>
      <c r="B6" s="11">
        <v>4035</v>
      </c>
      <c r="C6" s="11">
        <v>10025</v>
      </c>
      <c r="D6" s="11">
        <v>10066</v>
      </c>
      <c r="E6" s="11">
        <v>10108</v>
      </c>
      <c r="F6" s="11">
        <v>10150</v>
      </c>
      <c r="G6" s="11">
        <v>10191</v>
      </c>
      <c r="H6" s="11">
        <v>10233</v>
      </c>
      <c r="I6" s="11">
        <v>10275</v>
      </c>
      <c r="J6" s="11">
        <v>10313</v>
      </c>
      <c r="K6" s="11">
        <v>10350</v>
      </c>
      <c r="L6" s="11">
        <v>10387</v>
      </c>
      <c r="M6" s="11">
        <v>10425</v>
      </c>
      <c r="N6" s="11">
        <v>10463</v>
      </c>
      <c r="O6" s="11">
        <v>10500</v>
      </c>
      <c r="P6" s="22" t="s">
        <v>78</v>
      </c>
    </row>
    <row r="7" spans="1:16" ht="27.75" x14ac:dyDescent="0.2">
      <c r="A7" t="s">
        <v>54</v>
      </c>
      <c r="B7" s="11">
        <v>2450</v>
      </c>
      <c r="C7" s="11">
        <v>11610</v>
      </c>
      <c r="D7" s="11">
        <v>11651</v>
      </c>
      <c r="E7" s="11">
        <v>11693</v>
      </c>
      <c r="F7" s="11">
        <v>11735</v>
      </c>
      <c r="G7" s="11">
        <v>11776</v>
      </c>
      <c r="H7" s="11">
        <v>11818</v>
      </c>
      <c r="I7" s="11">
        <v>11860</v>
      </c>
      <c r="J7" s="11">
        <v>11898</v>
      </c>
      <c r="K7" s="11">
        <v>11935</v>
      </c>
      <c r="L7" s="11">
        <v>11972</v>
      </c>
      <c r="M7" s="11">
        <v>12010</v>
      </c>
      <c r="N7" s="11">
        <v>12048</v>
      </c>
      <c r="O7" s="11">
        <v>12085</v>
      </c>
      <c r="P7" s="22" t="s">
        <v>79</v>
      </c>
    </row>
    <row r="8" spans="1:16" ht="27.75" x14ac:dyDescent="0.2">
      <c r="A8" t="s">
        <v>55</v>
      </c>
      <c r="B8" s="11">
        <v>3355</v>
      </c>
      <c r="C8" s="11">
        <v>10705</v>
      </c>
      <c r="D8" s="11">
        <v>10746</v>
      </c>
      <c r="E8" s="11">
        <v>10788</v>
      </c>
      <c r="F8" s="11">
        <v>10830</v>
      </c>
      <c r="G8" s="11">
        <v>10871</v>
      </c>
      <c r="H8" s="11">
        <v>10913</v>
      </c>
      <c r="I8" s="11">
        <v>10955</v>
      </c>
      <c r="J8" s="11">
        <v>10993</v>
      </c>
      <c r="K8" s="11">
        <v>11030</v>
      </c>
      <c r="L8" s="11">
        <v>11067</v>
      </c>
      <c r="M8" s="11">
        <v>11105</v>
      </c>
      <c r="N8" s="11">
        <v>11143</v>
      </c>
      <c r="O8" s="11">
        <v>11180</v>
      </c>
      <c r="P8" s="22" t="s">
        <v>79</v>
      </c>
    </row>
    <row r="9" spans="1:16" ht="27.75" x14ac:dyDescent="0.2">
      <c r="A9" t="s">
        <v>56</v>
      </c>
      <c r="B9" s="11">
        <v>2185</v>
      </c>
      <c r="C9" s="11">
        <v>11875</v>
      </c>
      <c r="D9" s="11">
        <v>11916</v>
      </c>
      <c r="E9" s="11">
        <v>11958</v>
      </c>
      <c r="F9" s="11">
        <v>12000</v>
      </c>
      <c r="G9" s="11">
        <v>12041</v>
      </c>
      <c r="H9" s="11">
        <v>12083</v>
      </c>
      <c r="I9" s="11">
        <v>12125</v>
      </c>
      <c r="J9" s="11">
        <v>12163</v>
      </c>
      <c r="K9" s="11">
        <v>12200</v>
      </c>
      <c r="L9" s="11">
        <v>12237</v>
      </c>
      <c r="M9" s="11">
        <v>12275</v>
      </c>
      <c r="N9" s="11">
        <v>12313</v>
      </c>
      <c r="O9" s="11">
        <v>12350</v>
      </c>
      <c r="P9" s="22" t="s">
        <v>79</v>
      </c>
    </row>
    <row r="10" spans="1:16" ht="27.75" x14ac:dyDescent="0.2">
      <c r="A10" t="s">
        <v>57</v>
      </c>
      <c r="B10" s="11">
        <v>2965</v>
      </c>
      <c r="C10" s="11">
        <v>11095</v>
      </c>
      <c r="D10" s="11">
        <v>11136</v>
      </c>
      <c r="E10" s="11">
        <v>11178</v>
      </c>
      <c r="F10" s="11">
        <v>11220</v>
      </c>
      <c r="G10" s="11">
        <v>11261</v>
      </c>
      <c r="H10" s="11">
        <v>11303</v>
      </c>
      <c r="I10" s="11">
        <v>11345</v>
      </c>
      <c r="J10" s="11">
        <v>11383</v>
      </c>
      <c r="K10" s="11">
        <v>11420</v>
      </c>
      <c r="L10" s="11">
        <v>11457</v>
      </c>
      <c r="M10" s="11">
        <v>11495</v>
      </c>
      <c r="N10" s="11">
        <v>11533</v>
      </c>
      <c r="O10" s="11">
        <v>11570</v>
      </c>
      <c r="P10" s="22" t="s">
        <v>80</v>
      </c>
    </row>
    <row r="11" spans="1:16" ht="27.75" x14ac:dyDescent="0.2">
      <c r="A11" t="s">
        <v>58</v>
      </c>
      <c r="B11" s="11">
        <v>3575</v>
      </c>
      <c r="C11" s="11">
        <v>10485</v>
      </c>
      <c r="D11" s="11">
        <v>10526</v>
      </c>
      <c r="E11" s="11">
        <v>10568</v>
      </c>
      <c r="F11" s="11">
        <v>10610</v>
      </c>
      <c r="G11" s="11">
        <v>10651</v>
      </c>
      <c r="H11" s="11">
        <v>10693</v>
      </c>
      <c r="I11" s="11">
        <v>10735</v>
      </c>
      <c r="J11" s="11">
        <v>10773</v>
      </c>
      <c r="K11" s="11">
        <v>10810</v>
      </c>
      <c r="L11" s="11">
        <v>10847</v>
      </c>
      <c r="M11" s="11">
        <v>10885</v>
      </c>
      <c r="N11" s="11">
        <v>10923</v>
      </c>
      <c r="O11" s="11">
        <v>10960</v>
      </c>
      <c r="P11" s="22" t="s">
        <v>81</v>
      </c>
    </row>
    <row r="12" spans="1:16" ht="27.75" x14ac:dyDescent="0.2">
      <c r="A12" t="s">
        <v>59</v>
      </c>
      <c r="B12" s="11">
        <v>4230</v>
      </c>
      <c r="C12" s="11">
        <v>9830</v>
      </c>
      <c r="D12" s="11">
        <v>9871</v>
      </c>
      <c r="E12" s="11">
        <v>9913</v>
      </c>
      <c r="F12" s="11">
        <v>9955</v>
      </c>
      <c r="G12" s="11">
        <v>9996</v>
      </c>
      <c r="H12" s="11">
        <v>10038</v>
      </c>
      <c r="I12" s="11">
        <v>10080</v>
      </c>
      <c r="J12" s="11">
        <v>10118</v>
      </c>
      <c r="K12" s="11">
        <v>10155</v>
      </c>
      <c r="L12" s="11">
        <v>10192</v>
      </c>
      <c r="M12" s="11">
        <v>10230</v>
      </c>
      <c r="N12" s="11">
        <v>10268</v>
      </c>
      <c r="O12" s="11">
        <v>10305</v>
      </c>
      <c r="P12" s="22" t="s">
        <v>81</v>
      </c>
    </row>
    <row r="13" spans="1:16" ht="27.75" x14ac:dyDescent="0.2">
      <c r="A13" t="s">
        <v>60</v>
      </c>
      <c r="B13" s="11">
        <v>3285</v>
      </c>
      <c r="C13" s="11">
        <v>10775</v>
      </c>
      <c r="D13" s="11">
        <v>10816</v>
      </c>
      <c r="E13" s="11">
        <v>10858</v>
      </c>
      <c r="F13" s="11">
        <v>10900</v>
      </c>
      <c r="G13" s="11">
        <v>10941</v>
      </c>
      <c r="H13" s="11">
        <v>10983</v>
      </c>
      <c r="I13" s="11">
        <v>11025</v>
      </c>
      <c r="J13" s="11">
        <v>11063</v>
      </c>
      <c r="K13" s="11">
        <v>11100</v>
      </c>
      <c r="L13" s="11">
        <v>11137</v>
      </c>
      <c r="M13" s="11">
        <v>11175</v>
      </c>
      <c r="N13" s="11">
        <v>11213</v>
      </c>
      <c r="O13" s="11">
        <v>11250</v>
      </c>
      <c r="P13" s="22" t="s">
        <v>81</v>
      </c>
    </row>
    <row r="14" spans="1:16" ht="27.75" x14ac:dyDescent="0.2">
      <c r="A14" t="s">
        <v>61</v>
      </c>
      <c r="B14" s="11">
        <v>2215</v>
      </c>
      <c r="C14" s="11">
        <v>11845</v>
      </c>
      <c r="D14" s="11">
        <v>11886</v>
      </c>
      <c r="E14" s="11">
        <v>11928</v>
      </c>
      <c r="F14" s="11">
        <v>11970</v>
      </c>
      <c r="G14" s="11">
        <v>12011</v>
      </c>
      <c r="H14" s="11">
        <v>12053</v>
      </c>
      <c r="I14" s="11">
        <v>12095</v>
      </c>
      <c r="J14" s="11">
        <v>12133</v>
      </c>
      <c r="K14" s="11">
        <v>12170</v>
      </c>
      <c r="L14" s="11">
        <v>12207</v>
      </c>
      <c r="M14" s="11">
        <v>12245</v>
      </c>
      <c r="N14" s="11">
        <v>12283</v>
      </c>
      <c r="O14" s="11">
        <v>12320</v>
      </c>
      <c r="P14" s="22" t="s">
        <v>82</v>
      </c>
    </row>
    <row r="15" spans="1:16" ht="27.75" x14ac:dyDescent="0.2">
      <c r="A15" t="s">
        <v>62</v>
      </c>
      <c r="B15" s="11">
        <v>2140</v>
      </c>
      <c r="C15" s="11">
        <v>11920</v>
      </c>
      <c r="D15" s="11">
        <v>11961</v>
      </c>
      <c r="E15" s="11">
        <v>12003</v>
      </c>
      <c r="F15" s="11">
        <v>12045</v>
      </c>
      <c r="G15" s="11">
        <v>12086</v>
      </c>
      <c r="H15" s="11">
        <v>12128</v>
      </c>
      <c r="I15" s="11">
        <v>12170</v>
      </c>
      <c r="J15" s="11">
        <v>12208</v>
      </c>
      <c r="K15" s="11">
        <v>12245</v>
      </c>
      <c r="L15" s="11">
        <v>12282</v>
      </c>
      <c r="M15" s="11">
        <v>12320</v>
      </c>
      <c r="N15" s="11">
        <v>12358</v>
      </c>
      <c r="O15" s="11">
        <v>12395</v>
      </c>
      <c r="P15" s="22" t="s">
        <v>82</v>
      </c>
    </row>
    <row r="16" spans="1:16" ht="27.75" x14ac:dyDescent="0.2">
      <c r="A16" t="s">
        <v>63</v>
      </c>
      <c r="B16" s="11">
        <v>2405</v>
      </c>
      <c r="C16" s="11">
        <v>11655</v>
      </c>
      <c r="D16" s="11">
        <v>11696</v>
      </c>
      <c r="E16" s="11">
        <v>11738</v>
      </c>
      <c r="F16" s="11">
        <v>11780</v>
      </c>
      <c r="G16" s="11">
        <v>11821</v>
      </c>
      <c r="H16" s="11">
        <v>11863</v>
      </c>
      <c r="I16" s="11">
        <v>11905</v>
      </c>
      <c r="J16" s="11">
        <v>11943</v>
      </c>
      <c r="K16" s="11">
        <v>11980</v>
      </c>
      <c r="L16" s="11">
        <v>12017</v>
      </c>
      <c r="M16" s="11">
        <v>12055</v>
      </c>
      <c r="N16" s="11">
        <v>12093</v>
      </c>
      <c r="O16" s="11">
        <v>12130</v>
      </c>
      <c r="P16" s="22" t="s">
        <v>82</v>
      </c>
    </row>
    <row r="17" spans="1:16" ht="27.75" x14ac:dyDescent="0.2">
      <c r="A17" t="s">
        <v>64</v>
      </c>
      <c r="B17" s="11">
        <v>2610</v>
      </c>
      <c r="C17" s="11">
        <v>11450</v>
      </c>
      <c r="D17" s="11">
        <v>11491</v>
      </c>
      <c r="E17" s="11">
        <v>11533</v>
      </c>
      <c r="F17" s="11">
        <v>11575</v>
      </c>
      <c r="G17" s="11">
        <v>11616</v>
      </c>
      <c r="H17" s="11">
        <v>11658</v>
      </c>
      <c r="I17" s="11">
        <v>11700</v>
      </c>
      <c r="J17" s="11">
        <v>11738</v>
      </c>
      <c r="K17" s="11">
        <v>11775</v>
      </c>
      <c r="L17" s="11">
        <v>11812</v>
      </c>
      <c r="M17" s="11">
        <v>11850</v>
      </c>
      <c r="N17" s="11">
        <v>11888</v>
      </c>
      <c r="O17" s="11">
        <v>11925</v>
      </c>
      <c r="P17" s="22" t="s">
        <v>82</v>
      </c>
    </row>
    <row r="18" spans="1:16" ht="27.75" x14ac:dyDescent="0.2">
      <c r="A18" t="s">
        <v>65</v>
      </c>
      <c r="B18" s="11">
        <v>2430</v>
      </c>
      <c r="C18" s="11">
        <v>11630</v>
      </c>
      <c r="D18" s="11">
        <v>11671</v>
      </c>
      <c r="E18" s="11">
        <v>11713</v>
      </c>
      <c r="F18" s="11">
        <v>11755</v>
      </c>
      <c r="G18" s="11">
        <v>11796</v>
      </c>
      <c r="H18" s="11">
        <v>11838</v>
      </c>
      <c r="I18" s="11">
        <v>11880</v>
      </c>
      <c r="J18" s="11">
        <v>11918</v>
      </c>
      <c r="K18" s="11">
        <v>11955</v>
      </c>
      <c r="L18" s="11">
        <v>11992</v>
      </c>
      <c r="M18" s="11">
        <v>12030</v>
      </c>
      <c r="N18" s="11">
        <v>12068</v>
      </c>
      <c r="O18" s="11">
        <v>12105</v>
      </c>
      <c r="P18" s="22" t="s">
        <v>83</v>
      </c>
    </row>
    <row r="19" spans="1:16" x14ac:dyDescent="0.2">
      <c r="A19" t="s">
        <v>66</v>
      </c>
      <c r="B19" s="11">
        <v>3250</v>
      </c>
      <c r="C19" s="11">
        <v>10810</v>
      </c>
      <c r="D19" s="11">
        <v>10851</v>
      </c>
      <c r="E19" s="11">
        <v>10893</v>
      </c>
      <c r="F19" s="11">
        <v>10935</v>
      </c>
      <c r="G19" s="11">
        <v>10976</v>
      </c>
      <c r="H19" s="11">
        <v>11018</v>
      </c>
      <c r="I19" s="11">
        <v>11060</v>
      </c>
      <c r="J19" s="11">
        <v>11098</v>
      </c>
      <c r="K19" s="11">
        <v>11135</v>
      </c>
      <c r="L19" s="11">
        <v>11172</v>
      </c>
      <c r="M19" s="11">
        <v>11210</v>
      </c>
      <c r="N19" s="11">
        <v>11248</v>
      </c>
      <c r="O19" s="11">
        <v>11285</v>
      </c>
      <c r="P19" s="22" t="s">
        <v>84</v>
      </c>
    </row>
    <row r="20" spans="1:16" ht="27.75" x14ac:dyDescent="0.2">
      <c r="A20" t="s">
        <v>67</v>
      </c>
      <c r="B20" s="11">
        <v>4590</v>
      </c>
      <c r="C20" s="11">
        <v>9470</v>
      </c>
      <c r="D20" s="11">
        <v>9511</v>
      </c>
      <c r="E20" s="11">
        <v>9553</v>
      </c>
      <c r="F20" s="11">
        <v>9595</v>
      </c>
      <c r="G20" s="11">
        <v>9636</v>
      </c>
      <c r="H20" s="11">
        <v>9678</v>
      </c>
      <c r="I20" s="11">
        <v>9720</v>
      </c>
      <c r="J20" s="11">
        <v>9758</v>
      </c>
      <c r="K20" s="11">
        <v>9795</v>
      </c>
      <c r="L20" s="11">
        <v>9832</v>
      </c>
      <c r="M20" s="11">
        <v>9870</v>
      </c>
      <c r="N20" s="11">
        <v>9908</v>
      </c>
      <c r="O20" s="11">
        <v>9945</v>
      </c>
      <c r="P20" s="22" t="s">
        <v>85</v>
      </c>
    </row>
    <row r="21" spans="1:16" ht="27.75" x14ac:dyDescent="0.2">
      <c r="A21" t="s">
        <v>68</v>
      </c>
      <c r="B21" s="11">
        <v>4105</v>
      </c>
      <c r="C21" s="11">
        <v>9955</v>
      </c>
      <c r="D21" s="11">
        <v>9996</v>
      </c>
      <c r="E21" s="11">
        <v>10038</v>
      </c>
      <c r="F21" s="11">
        <v>10080</v>
      </c>
      <c r="G21" s="11">
        <v>10121</v>
      </c>
      <c r="H21" s="11">
        <v>10163</v>
      </c>
      <c r="I21" s="11">
        <v>10205</v>
      </c>
      <c r="J21" s="11">
        <v>10243</v>
      </c>
      <c r="K21" s="11">
        <v>10280</v>
      </c>
      <c r="L21" s="11">
        <v>10317</v>
      </c>
      <c r="M21" s="11">
        <v>10355</v>
      </c>
      <c r="N21" s="11">
        <v>10393</v>
      </c>
      <c r="O21" s="11">
        <v>10430</v>
      </c>
      <c r="P21" s="22" t="s">
        <v>85</v>
      </c>
    </row>
    <row r="22" spans="1:16" ht="27.75" x14ac:dyDescent="0.2">
      <c r="A22" t="s">
        <v>69</v>
      </c>
      <c r="B22" s="11">
        <v>5490</v>
      </c>
      <c r="C22" s="11">
        <v>8570</v>
      </c>
      <c r="D22" s="11">
        <v>8611</v>
      </c>
      <c r="E22" s="11">
        <v>8653</v>
      </c>
      <c r="F22" s="11">
        <v>8695</v>
      </c>
      <c r="G22" s="11">
        <v>8736</v>
      </c>
      <c r="H22" s="11">
        <v>8778</v>
      </c>
      <c r="I22" s="11">
        <v>8820</v>
      </c>
      <c r="J22" s="11">
        <v>8858</v>
      </c>
      <c r="K22" s="11">
        <v>8895</v>
      </c>
      <c r="L22" s="11">
        <v>8932</v>
      </c>
      <c r="M22" s="11">
        <v>8970</v>
      </c>
      <c r="N22" s="11">
        <v>9008</v>
      </c>
      <c r="O22" s="11">
        <v>9045</v>
      </c>
      <c r="P22" s="22" t="s">
        <v>85</v>
      </c>
    </row>
    <row r="23" spans="1:16" ht="27.75" x14ac:dyDescent="0.2">
      <c r="A23" t="s">
        <v>70</v>
      </c>
      <c r="B23" s="11">
        <v>6025</v>
      </c>
      <c r="C23" s="11">
        <v>8035</v>
      </c>
      <c r="D23" s="11">
        <v>8076</v>
      </c>
      <c r="E23" s="11">
        <v>8118</v>
      </c>
      <c r="F23" s="11">
        <v>8160</v>
      </c>
      <c r="G23" s="11">
        <v>8201</v>
      </c>
      <c r="H23" s="11">
        <v>8243</v>
      </c>
      <c r="I23" s="11">
        <v>8285</v>
      </c>
      <c r="J23" s="11">
        <v>8323</v>
      </c>
      <c r="K23" s="11">
        <v>8360</v>
      </c>
      <c r="L23" s="11">
        <v>8397</v>
      </c>
      <c r="M23" s="11">
        <v>8435</v>
      </c>
      <c r="N23" s="11">
        <v>8473</v>
      </c>
      <c r="O23" s="11">
        <v>8510</v>
      </c>
      <c r="P23" s="22" t="s">
        <v>85</v>
      </c>
    </row>
    <row r="24" spans="1:16" ht="27.75" x14ac:dyDescent="0.2">
      <c r="A24" t="s">
        <v>71</v>
      </c>
      <c r="B24" s="11">
        <v>3370</v>
      </c>
      <c r="C24" s="11">
        <v>10690</v>
      </c>
      <c r="D24" s="11">
        <v>10731</v>
      </c>
      <c r="E24" s="11">
        <v>10773</v>
      </c>
      <c r="F24" s="11">
        <v>10815</v>
      </c>
      <c r="G24" s="11">
        <v>10856</v>
      </c>
      <c r="H24" s="11">
        <v>10898</v>
      </c>
      <c r="I24" s="11">
        <v>10940</v>
      </c>
      <c r="J24" s="11">
        <v>10978</v>
      </c>
      <c r="K24" s="11">
        <v>11015</v>
      </c>
      <c r="L24" s="11">
        <v>11052</v>
      </c>
      <c r="M24" s="11">
        <v>11090</v>
      </c>
      <c r="N24" s="11">
        <v>11128</v>
      </c>
      <c r="O24" s="11">
        <v>11165</v>
      </c>
      <c r="P24" s="22" t="s">
        <v>85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workbookViewId="0">
      <selection sqref="A1:H1"/>
    </sheetView>
  </sheetViews>
  <sheetFormatPr defaultRowHeight="15" x14ac:dyDescent="0.2"/>
  <cols>
    <col min="1" max="1" width="27.98046875" style="19" customWidth="1"/>
    <col min="2" max="2" width="52.05859375" style="19" customWidth="1"/>
    <col min="3" max="3" width="18.0234375" style="19" customWidth="1"/>
    <col min="4" max="4" width="39.953125" style="19" customWidth="1"/>
    <col min="5" max="5" width="29.99609375" style="19" customWidth="1"/>
    <col min="6" max="6" width="27.98046875" style="19" customWidth="1"/>
    <col min="7" max="14" width="23.9453125" style="19" customWidth="1"/>
    <col min="16" max="16" width="18.96484375" style="19" customWidth="1"/>
  </cols>
  <sheetData>
    <row r="1" spans="1:12" ht="18.75" customHeight="1" x14ac:dyDescent="0.2">
      <c r="A1" s="25" t="s">
        <v>93</v>
      </c>
      <c r="B1" s="24"/>
      <c r="C1" s="24"/>
      <c r="D1" s="24"/>
      <c r="E1" s="24"/>
      <c r="F1" s="24"/>
      <c r="G1" s="24"/>
      <c r="H1" s="24"/>
    </row>
    <row r="3" spans="1:12" ht="33.950000000000003" customHeight="1" x14ac:dyDescent="0.2">
      <c r="A3" s="1" t="s">
        <v>1</v>
      </c>
      <c r="B3" s="1" t="s">
        <v>2</v>
      </c>
      <c r="C3" s="1" t="s">
        <v>3</v>
      </c>
      <c r="D3" s="13" t="s">
        <v>86</v>
      </c>
      <c r="E3" s="16" t="s">
        <v>5</v>
      </c>
      <c r="F3" s="8" t="s">
        <v>6</v>
      </c>
      <c r="G3" s="13" t="s">
        <v>7</v>
      </c>
      <c r="H3" s="13" t="s">
        <v>8</v>
      </c>
      <c r="I3" s="13" t="s">
        <v>9</v>
      </c>
      <c r="J3" s="17" t="s">
        <v>10</v>
      </c>
      <c r="K3" s="1" t="s">
        <v>11</v>
      </c>
      <c r="L3" s="1" t="s">
        <v>12</v>
      </c>
    </row>
    <row r="4" spans="1:12" x14ac:dyDescent="0.2">
      <c r="A4" s="2" t="s">
        <v>13</v>
      </c>
      <c r="B4" s="2" t="s">
        <v>14</v>
      </c>
      <c r="C4" s="3">
        <v>6323</v>
      </c>
      <c r="D4" s="3">
        <v>1600</v>
      </c>
      <c r="E4" s="11">
        <v>4780</v>
      </c>
      <c r="F4" s="3">
        <v>12703</v>
      </c>
      <c r="G4" s="11">
        <v>-400</v>
      </c>
      <c r="H4" s="11">
        <v>-64</v>
      </c>
      <c r="I4" s="11">
        <v>-679</v>
      </c>
      <c r="J4" s="11">
        <v>11560</v>
      </c>
      <c r="K4" s="4"/>
      <c r="L4" s="3">
        <v>0</v>
      </c>
    </row>
    <row r="5" spans="1:12" x14ac:dyDescent="0.2">
      <c r="A5" s="2" t="s">
        <v>15</v>
      </c>
      <c r="B5" s="2" t="s">
        <v>16</v>
      </c>
      <c r="C5" s="3">
        <v>6364</v>
      </c>
      <c r="D5" s="3">
        <v>1600</v>
      </c>
      <c r="E5" s="11">
        <v>4780</v>
      </c>
      <c r="F5" s="3">
        <v>12744</v>
      </c>
      <c r="G5" s="11">
        <v>-400</v>
      </c>
      <c r="H5" s="11">
        <v>-64</v>
      </c>
      <c r="I5" s="11">
        <v>-679</v>
      </c>
      <c r="J5" s="11">
        <v>11601</v>
      </c>
      <c r="K5" s="3">
        <v>41</v>
      </c>
      <c r="L5" s="3">
        <v>41</v>
      </c>
    </row>
    <row r="6" spans="1:12" x14ac:dyDescent="0.2">
      <c r="A6" s="2" t="s">
        <v>17</v>
      </c>
      <c r="B6" s="2" t="s">
        <v>18</v>
      </c>
      <c r="C6" s="3">
        <v>6406</v>
      </c>
      <c r="D6" s="3">
        <v>1600</v>
      </c>
      <c r="E6" s="11">
        <v>4780</v>
      </c>
      <c r="F6" s="3">
        <v>12786</v>
      </c>
      <c r="G6" s="11">
        <v>-400</v>
      </c>
      <c r="H6" s="11">
        <v>-64</v>
      </c>
      <c r="I6" s="11">
        <v>-679</v>
      </c>
      <c r="J6" s="11">
        <v>11643</v>
      </c>
      <c r="K6" s="3">
        <v>42</v>
      </c>
      <c r="L6" s="3">
        <v>83</v>
      </c>
    </row>
    <row r="7" spans="1:12" x14ac:dyDescent="0.2">
      <c r="A7" s="2" t="s">
        <v>19</v>
      </c>
      <c r="B7" s="2" t="s">
        <v>20</v>
      </c>
      <c r="C7" s="3">
        <v>6448</v>
      </c>
      <c r="D7" s="3">
        <v>1600</v>
      </c>
      <c r="E7" s="11">
        <v>4780</v>
      </c>
      <c r="F7" s="3">
        <v>12828</v>
      </c>
      <c r="G7" s="11">
        <v>-400</v>
      </c>
      <c r="H7" s="11">
        <v>-64</v>
      </c>
      <c r="I7" s="11">
        <v>-679</v>
      </c>
      <c r="J7" s="11">
        <v>11685</v>
      </c>
      <c r="K7" s="3">
        <v>42</v>
      </c>
      <c r="L7" s="3">
        <v>125</v>
      </c>
    </row>
    <row r="8" spans="1:12" x14ac:dyDescent="0.2">
      <c r="A8" s="2" t="s">
        <v>21</v>
      </c>
      <c r="B8" s="2" t="s">
        <v>22</v>
      </c>
      <c r="C8" s="3">
        <v>6489</v>
      </c>
      <c r="D8" s="3">
        <v>1600</v>
      </c>
      <c r="E8" s="11">
        <v>4780</v>
      </c>
      <c r="F8" s="3">
        <v>12869</v>
      </c>
      <c r="G8" s="11">
        <v>-400</v>
      </c>
      <c r="H8" s="11">
        <v>-64</v>
      </c>
      <c r="I8" s="11">
        <v>-679</v>
      </c>
      <c r="J8" s="11">
        <v>11726</v>
      </c>
      <c r="K8" s="3">
        <v>41</v>
      </c>
      <c r="L8" s="3">
        <v>166</v>
      </c>
    </row>
    <row r="9" spans="1:12" x14ac:dyDescent="0.2">
      <c r="A9" s="2" t="s">
        <v>23</v>
      </c>
      <c r="B9" s="2" t="s">
        <v>24</v>
      </c>
      <c r="C9" s="3">
        <v>6531</v>
      </c>
      <c r="D9" s="3">
        <v>1600</v>
      </c>
      <c r="E9" s="11">
        <v>4780</v>
      </c>
      <c r="F9" s="3">
        <v>12911</v>
      </c>
      <c r="G9" s="11">
        <v>-400</v>
      </c>
      <c r="H9" s="11">
        <v>-64</v>
      </c>
      <c r="I9" s="11">
        <v>-679</v>
      </c>
      <c r="J9" s="11">
        <v>11768</v>
      </c>
      <c r="K9" s="3">
        <v>42</v>
      </c>
      <c r="L9" s="3">
        <v>208</v>
      </c>
    </row>
    <row r="10" spans="1:12" x14ac:dyDescent="0.2">
      <c r="A10" s="2" t="s">
        <v>25</v>
      </c>
      <c r="B10" s="2" t="s">
        <v>26</v>
      </c>
      <c r="C10" s="3">
        <v>6573</v>
      </c>
      <c r="D10" s="3">
        <v>1600</v>
      </c>
      <c r="E10" s="11">
        <v>4780</v>
      </c>
      <c r="F10" s="3">
        <v>12953</v>
      </c>
      <c r="G10" s="11">
        <v>-400</v>
      </c>
      <c r="H10" s="11">
        <v>-64</v>
      </c>
      <c r="I10" s="11">
        <v>-679</v>
      </c>
      <c r="J10" s="11">
        <v>11810</v>
      </c>
      <c r="K10" s="3">
        <v>42</v>
      </c>
      <c r="L10" s="3">
        <v>250</v>
      </c>
    </row>
    <row r="11" spans="1:12" x14ac:dyDescent="0.2">
      <c r="A11" s="2" t="s">
        <v>27</v>
      </c>
      <c r="B11" s="2" t="s">
        <v>28</v>
      </c>
      <c r="C11" s="3">
        <v>6611</v>
      </c>
      <c r="D11" s="3">
        <v>1600</v>
      </c>
      <c r="E11" s="11">
        <v>4780</v>
      </c>
      <c r="F11" s="3">
        <v>12991</v>
      </c>
      <c r="G11" s="11">
        <v>-400</v>
      </c>
      <c r="H11" s="11">
        <v>-64</v>
      </c>
      <c r="I11" s="11">
        <v>-679</v>
      </c>
      <c r="J11" s="11">
        <v>11848</v>
      </c>
      <c r="K11" s="3">
        <v>38</v>
      </c>
      <c r="L11" s="3">
        <v>288</v>
      </c>
    </row>
    <row r="12" spans="1:12" x14ac:dyDescent="0.2">
      <c r="A12" s="2" t="s">
        <v>29</v>
      </c>
      <c r="B12" s="2" t="s">
        <v>30</v>
      </c>
      <c r="C12" s="3">
        <v>6648</v>
      </c>
      <c r="D12" s="3">
        <v>1600</v>
      </c>
      <c r="E12" s="11">
        <v>4780</v>
      </c>
      <c r="F12" s="3">
        <v>13028</v>
      </c>
      <c r="G12" s="11">
        <v>-400</v>
      </c>
      <c r="H12" s="11">
        <v>-64</v>
      </c>
      <c r="I12" s="11">
        <v>-679</v>
      </c>
      <c r="J12" s="11">
        <v>11885</v>
      </c>
      <c r="K12" s="3">
        <v>37</v>
      </c>
      <c r="L12" s="3">
        <v>325</v>
      </c>
    </row>
    <row r="13" spans="1:12" x14ac:dyDescent="0.2">
      <c r="A13" s="2" t="s">
        <v>31</v>
      </c>
      <c r="B13" s="2" t="s">
        <v>32</v>
      </c>
      <c r="C13" s="3">
        <v>6685</v>
      </c>
      <c r="D13" s="3">
        <v>1600</v>
      </c>
      <c r="E13" s="11">
        <v>4780</v>
      </c>
      <c r="F13" s="3">
        <v>13065</v>
      </c>
      <c r="G13" s="11">
        <v>-400</v>
      </c>
      <c r="H13" s="11">
        <v>-64</v>
      </c>
      <c r="I13" s="11">
        <v>-679</v>
      </c>
      <c r="J13" s="11">
        <v>11922</v>
      </c>
      <c r="K13" s="3">
        <v>37</v>
      </c>
      <c r="L13" s="3">
        <v>362</v>
      </c>
    </row>
    <row r="14" spans="1:12" x14ac:dyDescent="0.2">
      <c r="A14" s="2" t="s">
        <v>33</v>
      </c>
      <c r="B14" s="2" t="s">
        <v>34</v>
      </c>
      <c r="C14" s="3">
        <v>6723</v>
      </c>
      <c r="D14" s="3">
        <v>1600</v>
      </c>
      <c r="E14" s="11">
        <v>4780</v>
      </c>
      <c r="F14" s="3">
        <v>13103</v>
      </c>
      <c r="G14" s="11">
        <v>-400</v>
      </c>
      <c r="H14" s="11">
        <v>-64</v>
      </c>
      <c r="I14" s="11">
        <v>-679</v>
      </c>
      <c r="J14" s="11">
        <v>11960</v>
      </c>
      <c r="K14" s="3">
        <v>38</v>
      </c>
      <c r="L14" s="3">
        <v>400</v>
      </c>
    </row>
    <row r="15" spans="1:12" x14ac:dyDescent="0.2">
      <c r="A15" s="2" t="s">
        <v>35</v>
      </c>
      <c r="B15" s="2" t="s">
        <v>36</v>
      </c>
      <c r="C15" s="3">
        <v>6761</v>
      </c>
      <c r="D15" s="3">
        <v>1600</v>
      </c>
      <c r="E15" s="11">
        <v>4780</v>
      </c>
      <c r="F15" s="3">
        <v>13141</v>
      </c>
      <c r="G15" s="11">
        <v>-400</v>
      </c>
      <c r="H15" s="11">
        <v>-64</v>
      </c>
      <c r="I15" s="11">
        <v>-679</v>
      </c>
      <c r="J15" s="11">
        <v>11998</v>
      </c>
      <c r="K15" s="3">
        <v>38</v>
      </c>
      <c r="L15" s="3">
        <v>438</v>
      </c>
    </row>
    <row r="16" spans="1:12" x14ac:dyDescent="0.2">
      <c r="A16" s="2" t="s">
        <v>37</v>
      </c>
      <c r="B16" s="2" t="s">
        <v>38</v>
      </c>
      <c r="C16" s="3">
        <v>6798</v>
      </c>
      <c r="D16" s="3">
        <v>1600</v>
      </c>
      <c r="E16" s="11">
        <v>4780</v>
      </c>
      <c r="F16" s="3">
        <v>13178</v>
      </c>
      <c r="G16" s="11">
        <v>-400</v>
      </c>
      <c r="H16" s="11">
        <v>-64</v>
      </c>
      <c r="I16" s="11">
        <v>-679</v>
      </c>
      <c r="J16" s="11">
        <v>12035</v>
      </c>
      <c r="K16" s="3">
        <v>37</v>
      </c>
      <c r="L16" s="3">
        <v>475</v>
      </c>
    </row>
    <row r="17" spans="1:12" x14ac:dyDescent="0.2">
      <c r="K17" s="11">
        <f>SUM(K15:K16)</f>
        <v>75</v>
      </c>
    </row>
    <row r="19" spans="1:12" x14ac:dyDescent="0.2">
      <c r="A19" s="24"/>
      <c r="B19" s="24"/>
      <c r="C19" s="24"/>
      <c r="D19" s="24"/>
      <c r="E19" s="24"/>
      <c r="F19" s="24"/>
      <c r="G19" s="24"/>
    </row>
    <row r="20" spans="1:12" x14ac:dyDescent="0.2">
      <c r="A20" s="24"/>
      <c r="B20" s="24"/>
      <c r="C20" s="24"/>
      <c r="D20" s="24"/>
      <c r="E20" s="24"/>
      <c r="F20" s="24"/>
      <c r="G20" s="24"/>
      <c r="K20" s="6">
        <f>SUM(D22:D30)</f>
        <v>0</v>
      </c>
    </row>
    <row r="21" spans="1:12" ht="33.950000000000003" customHeight="1" x14ac:dyDescent="0.2">
      <c r="C21" s="5" t="s">
        <v>39</v>
      </c>
      <c r="D21" s="12"/>
      <c r="E21" s="12"/>
      <c r="F21" s="12"/>
      <c r="K21" s="12"/>
      <c r="L21" s="7"/>
    </row>
    <row r="24" spans="1:12" ht="27.75" customHeight="1" x14ac:dyDescent="0.2"/>
    <row r="26" spans="1:12" ht="15.75" customHeight="1" x14ac:dyDescent="0.2"/>
    <row r="33" spans="4:5" x14ac:dyDescent="0.2">
      <c r="D33" s="24"/>
      <c r="E33" s="24"/>
    </row>
  </sheetData>
  <mergeCells count="4">
    <mergeCell ref="A20:G20"/>
    <mergeCell ref="A19:G19"/>
    <mergeCell ref="D33:E3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topLeftCell="C1" workbookViewId="0">
      <selection activeCell="J6" sqref="J6"/>
    </sheetView>
  </sheetViews>
  <sheetFormatPr defaultRowHeight="15" x14ac:dyDescent="0.2"/>
  <cols>
    <col min="1" max="1" width="22.05859375" style="19" customWidth="1"/>
    <col min="2" max="2" width="11.97265625" style="19" customWidth="1"/>
    <col min="3" max="3" width="13.98828125" style="19" customWidth="1"/>
    <col min="4" max="4" width="11.97265625" style="19" customWidth="1"/>
    <col min="5" max="5" width="16.0078125" style="19" customWidth="1"/>
    <col min="6" max="6" width="13.98828125" style="19" customWidth="1"/>
    <col min="7" max="7" width="16.0078125" style="19" customWidth="1"/>
    <col min="8" max="8" width="18.0234375" style="19" customWidth="1"/>
    <col min="9" max="9" width="23.9453125" style="19" customWidth="1"/>
    <col min="10" max="10" width="27.3046875" style="19" customWidth="1"/>
    <col min="11" max="11" width="20.04296875" style="19" customWidth="1"/>
  </cols>
  <sheetData>
    <row r="1" spans="1:10" ht="18.75" customHeight="1" x14ac:dyDescent="0.25">
      <c r="A1" s="26" t="s">
        <v>40</v>
      </c>
      <c r="B1" s="24"/>
      <c r="C1" s="24"/>
      <c r="D1" s="24"/>
      <c r="E1" s="24"/>
      <c r="F1" s="24"/>
      <c r="G1" s="24"/>
      <c r="H1" s="24"/>
      <c r="I1" s="24"/>
    </row>
    <row r="3" spans="1:10" x14ac:dyDescent="0.2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10" t="s">
        <v>48</v>
      </c>
      <c r="I3" s="9" t="s">
        <v>49</v>
      </c>
      <c r="J3" s="9" t="s">
        <v>50</v>
      </c>
    </row>
    <row r="4" spans="1:10" x14ac:dyDescent="0.2">
      <c r="A4" t="s">
        <v>51</v>
      </c>
      <c r="B4" s="11">
        <v>80</v>
      </c>
      <c r="C4" s="11">
        <v>180</v>
      </c>
      <c r="D4" s="11">
        <v>70</v>
      </c>
      <c r="E4" s="11">
        <v>250</v>
      </c>
      <c r="F4" s="11">
        <v>900</v>
      </c>
      <c r="G4" s="11">
        <v>300</v>
      </c>
      <c r="H4" s="11">
        <v>1200</v>
      </c>
      <c r="I4" s="11">
        <f>SUM(B4:H4)</f>
        <v>2980</v>
      </c>
      <c r="J4" s="11">
        <f>7923-I4</f>
        <v>4943</v>
      </c>
    </row>
    <row r="5" spans="1:10" x14ac:dyDescent="0.2">
      <c r="A5" t="s">
        <v>52</v>
      </c>
      <c r="B5" s="11">
        <v>75</v>
      </c>
      <c r="C5" s="11">
        <v>190</v>
      </c>
      <c r="D5" s="11">
        <v>70</v>
      </c>
      <c r="E5" s="11">
        <v>260</v>
      </c>
      <c r="F5" s="11">
        <v>900</v>
      </c>
      <c r="G5" s="11">
        <v>325</v>
      </c>
      <c r="H5" s="11">
        <v>1600</v>
      </c>
      <c r="I5" s="11">
        <f>SUM(B5:H5)</f>
        <v>3420</v>
      </c>
      <c r="J5" s="11">
        <f>7923-I5</f>
        <v>4503</v>
      </c>
    </row>
    <row r="6" spans="1:10" x14ac:dyDescent="0.2">
      <c r="A6" t="s">
        <v>53</v>
      </c>
      <c r="B6" s="11">
        <v>85</v>
      </c>
      <c r="C6" s="11">
        <v>220</v>
      </c>
      <c r="D6" s="11">
        <v>80</v>
      </c>
      <c r="E6" s="11">
        <v>300</v>
      </c>
      <c r="F6" s="11">
        <v>1000</v>
      </c>
      <c r="G6" s="11">
        <v>350</v>
      </c>
      <c r="H6" s="11">
        <v>2000</v>
      </c>
      <c r="I6" s="11">
        <f>SUM(B6:H6)</f>
        <v>4035</v>
      </c>
      <c r="J6" s="11">
        <f>7923-I6</f>
        <v>3888</v>
      </c>
    </row>
    <row r="7" spans="1:10" x14ac:dyDescent="0.2">
      <c r="A7" t="s">
        <v>54</v>
      </c>
      <c r="B7" s="11">
        <v>55</v>
      </c>
      <c r="C7" s="11">
        <v>110</v>
      </c>
      <c r="D7" s="11">
        <v>55</v>
      </c>
      <c r="E7" s="11">
        <v>180</v>
      </c>
      <c r="F7" s="11">
        <v>700</v>
      </c>
      <c r="G7" s="11">
        <v>250</v>
      </c>
      <c r="H7" s="11">
        <v>1100</v>
      </c>
      <c r="I7" s="11">
        <f>SUM(B7:H7)</f>
        <v>2450</v>
      </c>
      <c r="J7" s="11">
        <f>7923-I7</f>
        <v>5473</v>
      </c>
    </row>
    <row r="8" spans="1:10" x14ac:dyDescent="0.2">
      <c r="A8" t="s">
        <v>55</v>
      </c>
      <c r="B8" s="11">
        <v>70</v>
      </c>
      <c r="C8" s="11">
        <v>150</v>
      </c>
      <c r="D8" s="11">
        <v>65</v>
      </c>
      <c r="E8" s="11">
        <v>220</v>
      </c>
      <c r="F8" s="11">
        <v>850</v>
      </c>
      <c r="G8" s="11">
        <v>300</v>
      </c>
      <c r="H8" s="11">
        <v>1700</v>
      </c>
      <c r="I8" s="11">
        <f>SUM(B8:H8)</f>
        <v>3355</v>
      </c>
      <c r="J8" s="11">
        <f>7923-I8</f>
        <v>4568</v>
      </c>
    </row>
    <row r="9" spans="1:10" x14ac:dyDescent="0.2">
      <c r="A9" t="s">
        <v>56</v>
      </c>
      <c r="B9" s="11">
        <v>50</v>
      </c>
      <c r="C9" s="11">
        <v>100</v>
      </c>
      <c r="D9" s="11">
        <v>50</v>
      </c>
      <c r="E9" s="11">
        <v>160</v>
      </c>
      <c r="F9" s="11">
        <v>650</v>
      </c>
      <c r="G9" s="11">
        <v>225</v>
      </c>
      <c r="H9" s="11">
        <v>950</v>
      </c>
      <c r="I9" s="11">
        <f>SUM(B9:H9)</f>
        <v>2185</v>
      </c>
      <c r="J9" s="11">
        <f>7923-I9</f>
        <v>5738</v>
      </c>
    </row>
    <row r="10" spans="1:10" x14ac:dyDescent="0.2">
      <c r="A10" t="s">
        <v>57</v>
      </c>
      <c r="B10" s="11">
        <v>60</v>
      </c>
      <c r="C10" s="11">
        <v>120</v>
      </c>
      <c r="D10" s="11">
        <v>60</v>
      </c>
      <c r="E10" s="11">
        <v>200</v>
      </c>
      <c r="F10" s="11">
        <v>750</v>
      </c>
      <c r="G10" s="11">
        <v>275</v>
      </c>
      <c r="H10" s="11">
        <v>1500</v>
      </c>
      <c r="I10" s="11">
        <f>SUM(B10:H10)</f>
        <v>2965</v>
      </c>
      <c r="J10" s="11">
        <f>7923-I10</f>
        <v>4958</v>
      </c>
    </row>
    <row r="11" spans="1:10" x14ac:dyDescent="0.2">
      <c r="A11" t="s">
        <v>58</v>
      </c>
      <c r="B11" s="11">
        <v>85</v>
      </c>
      <c r="C11" s="11">
        <v>180</v>
      </c>
      <c r="D11" s="11">
        <v>70</v>
      </c>
      <c r="E11" s="11">
        <v>240</v>
      </c>
      <c r="F11" s="11">
        <v>900</v>
      </c>
      <c r="G11" s="11">
        <v>300</v>
      </c>
      <c r="H11" s="11">
        <v>1800</v>
      </c>
      <c r="I11" s="11">
        <f>SUM(B11:H11)</f>
        <v>3575</v>
      </c>
      <c r="J11" s="11">
        <f>7923-I11</f>
        <v>4348</v>
      </c>
    </row>
    <row r="12" spans="1:10" x14ac:dyDescent="0.2">
      <c r="A12" t="s">
        <v>59</v>
      </c>
      <c r="B12" s="11">
        <v>90</v>
      </c>
      <c r="C12" s="11">
        <v>210</v>
      </c>
      <c r="D12" s="11">
        <v>75</v>
      </c>
      <c r="E12" s="11">
        <v>280</v>
      </c>
      <c r="F12" s="11">
        <v>950</v>
      </c>
      <c r="G12" s="11">
        <v>325</v>
      </c>
      <c r="H12" s="11">
        <v>2300</v>
      </c>
      <c r="I12" s="11">
        <f>SUM(B12:H12)</f>
        <v>4230</v>
      </c>
      <c r="J12" s="11">
        <f>7923-I12</f>
        <v>3693</v>
      </c>
    </row>
    <row r="13" spans="1:10" x14ac:dyDescent="0.2">
      <c r="A13" t="s">
        <v>60</v>
      </c>
      <c r="B13" s="11">
        <v>80</v>
      </c>
      <c r="C13" s="11">
        <v>170</v>
      </c>
      <c r="D13" s="11">
        <v>65</v>
      </c>
      <c r="E13" s="11">
        <v>220</v>
      </c>
      <c r="F13" s="11">
        <v>850</v>
      </c>
      <c r="G13" s="11">
        <v>300</v>
      </c>
      <c r="H13" s="11">
        <v>1600</v>
      </c>
      <c r="I13" s="11">
        <f>SUM(B13:H13)</f>
        <v>3285</v>
      </c>
      <c r="J13" s="11">
        <f>7923-I13</f>
        <v>4638</v>
      </c>
    </row>
    <row r="14" spans="1:10" x14ac:dyDescent="0.2">
      <c r="A14" t="s">
        <v>61</v>
      </c>
      <c r="B14" s="11">
        <v>60</v>
      </c>
      <c r="C14" s="11">
        <v>120</v>
      </c>
      <c r="D14" s="11">
        <v>55</v>
      </c>
      <c r="E14" s="11">
        <v>180</v>
      </c>
      <c r="F14" s="11">
        <v>650</v>
      </c>
      <c r="G14" s="11">
        <v>250</v>
      </c>
      <c r="H14" s="11">
        <v>900</v>
      </c>
      <c r="I14" s="11">
        <f>SUM(B14:H14)</f>
        <v>2215</v>
      </c>
      <c r="J14" s="11">
        <f>7923-I14</f>
        <v>5708</v>
      </c>
    </row>
    <row r="15" spans="1:10" x14ac:dyDescent="0.2">
      <c r="A15" t="s">
        <v>62</v>
      </c>
      <c r="B15" s="11">
        <v>60</v>
      </c>
      <c r="C15" s="11">
        <v>115</v>
      </c>
      <c r="D15" s="11">
        <v>55</v>
      </c>
      <c r="E15" s="11">
        <v>170</v>
      </c>
      <c r="F15" s="11">
        <v>650</v>
      </c>
      <c r="G15" s="11">
        <v>240</v>
      </c>
      <c r="H15" s="11">
        <v>850</v>
      </c>
      <c r="I15" s="11">
        <f>SUM(B15:H15)</f>
        <v>2140</v>
      </c>
      <c r="J15" s="11">
        <f>7923-I15</f>
        <v>5783</v>
      </c>
    </row>
    <row r="16" spans="1:10" x14ac:dyDescent="0.2">
      <c r="A16" t="s">
        <v>63</v>
      </c>
      <c r="B16" s="11">
        <v>65</v>
      </c>
      <c r="C16" s="11">
        <v>130</v>
      </c>
      <c r="D16" s="11">
        <v>60</v>
      </c>
      <c r="E16" s="11">
        <v>190</v>
      </c>
      <c r="F16" s="11">
        <v>700</v>
      </c>
      <c r="G16" s="11">
        <v>260</v>
      </c>
      <c r="H16" s="11">
        <v>1000</v>
      </c>
      <c r="I16" s="11">
        <f>SUM(B16:H16)</f>
        <v>2405</v>
      </c>
      <c r="J16" s="11">
        <f>7923-I16</f>
        <v>5518</v>
      </c>
    </row>
    <row r="17" spans="1:10" x14ac:dyDescent="0.2">
      <c r="A17" t="s">
        <v>64</v>
      </c>
      <c r="B17" s="11">
        <v>70</v>
      </c>
      <c r="C17" s="11">
        <v>140</v>
      </c>
      <c r="D17" s="11">
        <v>65</v>
      </c>
      <c r="E17" s="11">
        <v>210</v>
      </c>
      <c r="F17" s="11">
        <v>750</v>
      </c>
      <c r="G17" s="11">
        <v>275</v>
      </c>
      <c r="H17" s="11">
        <v>1100</v>
      </c>
      <c r="I17" s="11">
        <f>SUM(B17:H17)</f>
        <v>2610</v>
      </c>
      <c r="J17" s="11">
        <f>7923-I17</f>
        <v>5313</v>
      </c>
    </row>
    <row r="18" spans="1:10" x14ac:dyDescent="0.2">
      <c r="A18" t="s">
        <v>65</v>
      </c>
      <c r="B18" s="11">
        <v>65</v>
      </c>
      <c r="C18" s="11">
        <v>130</v>
      </c>
      <c r="D18" s="11">
        <v>60</v>
      </c>
      <c r="E18" s="11">
        <v>200</v>
      </c>
      <c r="F18" s="11">
        <v>700</v>
      </c>
      <c r="G18" s="11">
        <v>275</v>
      </c>
      <c r="H18" s="11">
        <v>1000</v>
      </c>
      <c r="I18" s="11">
        <f>SUM(B18:H18)</f>
        <v>2430</v>
      </c>
      <c r="J18" s="11">
        <f>7923-I18</f>
        <v>5493</v>
      </c>
    </row>
    <row r="19" spans="1:10" x14ac:dyDescent="0.2">
      <c r="A19" t="s">
        <v>66</v>
      </c>
      <c r="B19" s="11">
        <v>70</v>
      </c>
      <c r="C19" s="11">
        <v>150</v>
      </c>
      <c r="D19" s="11">
        <v>60</v>
      </c>
      <c r="E19" s="11">
        <v>220</v>
      </c>
      <c r="F19" s="11">
        <v>850</v>
      </c>
      <c r="G19" s="11">
        <v>300</v>
      </c>
      <c r="H19" s="11">
        <v>1600</v>
      </c>
      <c r="I19" s="11">
        <f>SUM(B19:H19)</f>
        <v>3250</v>
      </c>
      <c r="J19" s="11">
        <f>7923-I19</f>
        <v>4673</v>
      </c>
    </row>
    <row r="20" spans="1:10" x14ac:dyDescent="0.2">
      <c r="A20" t="s">
        <v>67</v>
      </c>
      <c r="B20" s="11">
        <v>90</v>
      </c>
      <c r="C20" s="11">
        <v>200</v>
      </c>
      <c r="D20" s="11">
        <v>80</v>
      </c>
      <c r="E20" s="11">
        <v>320</v>
      </c>
      <c r="F20" s="11">
        <v>950</v>
      </c>
      <c r="G20" s="11">
        <v>350</v>
      </c>
      <c r="H20" s="11">
        <v>2600</v>
      </c>
      <c r="I20" s="11">
        <f>SUM(B20:H20)</f>
        <v>4590</v>
      </c>
      <c r="J20" s="11">
        <f>7923-I20</f>
        <v>3333</v>
      </c>
    </row>
    <row r="21" spans="1:10" x14ac:dyDescent="0.2">
      <c r="A21" t="s">
        <v>68</v>
      </c>
      <c r="B21" s="11">
        <v>85</v>
      </c>
      <c r="C21" s="11">
        <v>220</v>
      </c>
      <c r="D21" s="11">
        <v>75</v>
      </c>
      <c r="E21" s="11">
        <v>300</v>
      </c>
      <c r="F21" s="11">
        <v>900</v>
      </c>
      <c r="G21" s="11">
        <v>325</v>
      </c>
      <c r="H21" s="11">
        <v>2200</v>
      </c>
      <c r="I21" s="11">
        <f>SUM(B21:H21)</f>
        <v>4105</v>
      </c>
      <c r="J21" s="11">
        <f>7923-I21</f>
        <v>3818</v>
      </c>
    </row>
    <row r="22" spans="1:10" x14ac:dyDescent="0.2">
      <c r="A22" t="s">
        <v>69</v>
      </c>
      <c r="B22" s="11">
        <v>95</v>
      </c>
      <c r="C22" s="11">
        <v>260</v>
      </c>
      <c r="D22" s="11">
        <v>85</v>
      </c>
      <c r="E22" s="11">
        <v>350</v>
      </c>
      <c r="F22" s="11">
        <v>1100</v>
      </c>
      <c r="G22" s="11">
        <v>400</v>
      </c>
      <c r="H22" s="11">
        <v>3200</v>
      </c>
      <c r="I22" s="11">
        <f>SUM(B22:H22)</f>
        <v>5490</v>
      </c>
      <c r="J22" s="11">
        <f>7923-I22</f>
        <v>2433</v>
      </c>
    </row>
    <row r="23" spans="1:10" x14ac:dyDescent="0.2">
      <c r="A23" t="s">
        <v>70</v>
      </c>
      <c r="B23" s="11">
        <v>100</v>
      </c>
      <c r="C23" s="11">
        <v>280</v>
      </c>
      <c r="D23" s="11">
        <v>90</v>
      </c>
      <c r="E23" s="11">
        <v>380</v>
      </c>
      <c r="F23" s="11">
        <v>1150</v>
      </c>
      <c r="G23" s="11">
        <v>425</v>
      </c>
      <c r="H23" s="11">
        <v>3600</v>
      </c>
      <c r="I23" s="11">
        <f>SUM(B23:H23)</f>
        <v>6025</v>
      </c>
      <c r="J23" s="11">
        <f>7923-I23</f>
        <v>1898</v>
      </c>
    </row>
    <row r="24" spans="1:10" x14ac:dyDescent="0.2">
      <c r="A24" t="s">
        <v>71</v>
      </c>
      <c r="B24" s="11">
        <v>80</v>
      </c>
      <c r="C24" s="11">
        <v>160</v>
      </c>
      <c r="D24" s="11">
        <v>75</v>
      </c>
      <c r="E24" s="11">
        <v>280</v>
      </c>
      <c r="F24" s="11">
        <v>850</v>
      </c>
      <c r="G24" s="11">
        <v>325</v>
      </c>
      <c r="H24" s="11">
        <v>1600</v>
      </c>
      <c r="I24" s="11">
        <f>SUM(B24:H24)</f>
        <v>3370</v>
      </c>
      <c r="J24" s="11">
        <f>7923-I24</f>
        <v>4553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workbookViewId="0">
      <pane xSplit="2" ySplit="3" topLeftCell="F4" activePane="bottomRight" state="frozen"/>
      <selection pane="bottomLeft"/>
      <selection pane="topRight"/>
      <selection pane="bottomRight" activeCell="A2" sqref="A1:A1048576"/>
    </sheetView>
  </sheetViews>
  <sheetFormatPr defaultRowHeight="15" x14ac:dyDescent="0.2"/>
  <cols>
    <col min="1" max="1" width="15.46875" customWidth="1"/>
    <col min="2" max="2" width="17.890625" customWidth="1"/>
    <col min="3" max="15" width="18.0234375" style="19" customWidth="1"/>
    <col min="16" max="16" width="45.0625" style="19" customWidth="1"/>
  </cols>
  <sheetData>
    <row r="1" spans="1:16" ht="18.75" customHeight="1" x14ac:dyDescent="0.25">
      <c r="A1" s="23" t="s">
        <v>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3" spans="1:16" x14ac:dyDescent="0.2">
      <c r="A3" s="18" t="s">
        <v>41</v>
      </c>
      <c r="B3" s="18" t="s">
        <v>73</v>
      </c>
      <c r="C3" s="16" t="s">
        <v>13</v>
      </c>
      <c r="D3" s="16" t="s">
        <v>15</v>
      </c>
      <c r="E3" s="16" t="s">
        <v>17</v>
      </c>
      <c r="F3" s="16" t="s">
        <v>19</v>
      </c>
      <c r="G3" s="16" t="s">
        <v>21</v>
      </c>
      <c r="H3" s="16" t="s">
        <v>23</v>
      </c>
      <c r="I3" s="16" t="s">
        <v>25</v>
      </c>
      <c r="J3" s="16" t="s">
        <v>27</v>
      </c>
      <c r="K3" s="16" t="s">
        <v>29</v>
      </c>
      <c r="L3" s="16" t="s">
        <v>31</v>
      </c>
      <c r="M3" s="16" t="s">
        <v>33</v>
      </c>
      <c r="N3" s="16" t="s">
        <v>35</v>
      </c>
      <c r="O3" s="16" t="s">
        <v>37</v>
      </c>
      <c r="P3" s="21" t="s">
        <v>77</v>
      </c>
    </row>
    <row r="4" spans="1:16" ht="27.75" x14ac:dyDescent="0.2">
      <c r="A4" t="s">
        <v>51</v>
      </c>
      <c r="B4" s="11">
        <v>2980</v>
      </c>
      <c r="C4" s="11">
        <v>8580</v>
      </c>
      <c r="D4" s="11">
        <v>8621</v>
      </c>
      <c r="E4" s="11">
        <v>8663</v>
      </c>
      <c r="F4" s="11">
        <v>8705</v>
      </c>
      <c r="G4" s="11">
        <v>8746</v>
      </c>
      <c r="H4" s="11">
        <v>8788</v>
      </c>
      <c r="I4" s="11">
        <v>8830</v>
      </c>
      <c r="J4" s="11">
        <v>8868</v>
      </c>
      <c r="K4" s="11">
        <v>8905</v>
      </c>
      <c r="L4" s="11">
        <v>8942</v>
      </c>
      <c r="M4" s="11">
        <v>8980</v>
      </c>
      <c r="N4" s="11">
        <v>9018</v>
      </c>
      <c r="O4" s="11">
        <v>9055</v>
      </c>
      <c r="P4" s="22" t="s">
        <v>78</v>
      </c>
    </row>
    <row r="5" spans="1:16" ht="27.75" x14ac:dyDescent="0.2">
      <c r="A5" t="s">
        <v>52</v>
      </c>
      <c r="B5" s="11">
        <v>3420</v>
      </c>
      <c r="C5" s="11">
        <v>8140</v>
      </c>
      <c r="D5" s="11">
        <v>8181</v>
      </c>
      <c r="E5" s="11">
        <v>8223</v>
      </c>
      <c r="F5" s="11">
        <v>8265</v>
      </c>
      <c r="G5" s="11">
        <v>8306</v>
      </c>
      <c r="H5" s="11">
        <v>8348</v>
      </c>
      <c r="I5" s="11">
        <v>8390</v>
      </c>
      <c r="J5" s="11">
        <v>8428</v>
      </c>
      <c r="K5" s="11">
        <v>8465</v>
      </c>
      <c r="L5" s="11">
        <v>8502</v>
      </c>
      <c r="M5" s="11">
        <v>8540</v>
      </c>
      <c r="N5" s="11">
        <v>8578</v>
      </c>
      <c r="O5" s="11">
        <v>8615</v>
      </c>
      <c r="P5" s="22" t="s">
        <v>78</v>
      </c>
    </row>
    <row r="6" spans="1:16" ht="27.75" x14ac:dyDescent="0.2">
      <c r="A6" t="s">
        <v>53</v>
      </c>
      <c r="B6" s="11">
        <v>4035</v>
      </c>
      <c r="C6" s="11">
        <v>7525</v>
      </c>
      <c r="D6" s="11">
        <v>7566</v>
      </c>
      <c r="E6" s="11">
        <v>7608</v>
      </c>
      <c r="F6" s="11">
        <v>7650</v>
      </c>
      <c r="G6" s="11">
        <v>7691</v>
      </c>
      <c r="H6" s="11">
        <v>7733</v>
      </c>
      <c r="I6" s="11">
        <v>7775</v>
      </c>
      <c r="J6" s="11">
        <v>7813</v>
      </c>
      <c r="K6" s="11">
        <v>7850</v>
      </c>
      <c r="L6" s="11">
        <v>7887</v>
      </c>
      <c r="M6" s="11">
        <v>7925</v>
      </c>
      <c r="N6" s="11">
        <v>7963</v>
      </c>
      <c r="O6" s="11">
        <v>8000</v>
      </c>
      <c r="P6" s="22" t="s">
        <v>78</v>
      </c>
    </row>
    <row r="7" spans="1:16" ht="27.75" x14ac:dyDescent="0.2">
      <c r="A7" t="s">
        <v>54</v>
      </c>
      <c r="B7" s="11">
        <v>2450</v>
      </c>
      <c r="C7" s="11">
        <v>9110</v>
      </c>
      <c r="D7" s="11">
        <v>9151</v>
      </c>
      <c r="E7" s="11">
        <v>9193</v>
      </c>
      <c r="F7" s="11">
        <v>9235</v>
      </c>
      <c r="G7" s="11">
        <v>9276</v>
      </c>
      <c r="H7" s="11">
        <v>9318</v>
      </c>
      <c r="I7" s="11">
        <v>9360</v>
      </c>
      <c r="J7" s="11">
        <v>9398</v>
      </c>
      <c r="K7" s="11">
        <v>9435</v>
      </c>
      <c r="L7" s="11">
        <v>9472</v>
      </c>
      <c r="M7" s="11">
        <v>9510</v>
      </c>
      <c r="N7" s="11">
        <v>9548</v>
      </c>
      <c r="O7" s="11">
        <v>9585</v>
      </c>
      <c r="P7" s="22" t="s">
        <v>79</v>
      </c>
    </row>
    <row r="8" spans="1:16" ht="27.75" x14ac:dyDescent="0.2">
      <c r="A8" t="s">
        <v>55</v>
      </c>
      <c r="B8" s="11">
        <v>3355</v>
      </c>
      <c r="C8" s="11">
        <v>8205</v>
      </c>
      <c r="D8" s="11">
        <v>8246</v>
      </c>
      <c r="E8" s="11">
        <v>8288</v>
      </c>
      <c r="F8" s="11">
        <v>8330</v>
      </c>
      <c r="G8" s="11">
        <v>8371</v>
      </c>
      <c r="H8" s="11">
        <v>8413</v>
      </c>
      <c r="I8" s="11">
        <v>8455</v>
      </c>
      <c r="J8" s="11">
        <v>8493</v>
      </c>
      <c r="K8" s="11">
        <v>8530</v>
      </c>
      <c r="L8" s="11">
        <v>8567</v>
      </c>
      <c r="M8" s="11">
        <v>8605</v>
      </c>
      <c r="N8" s="11">
        <v>8643</v>
      </c>
      <c r="O8" s="11">
        <v>8680</v>
      </c>
      <c r="P8" s="22" t="s">
        <v>79</v>
      </c>
    </row>
    <row r="9" spans="1:16" ht="27.75" x14ac:dyDescent="0.2">
      <c r="A9" t="s">
        <v>56</v>
      </c>
      <c r="B9" s="11">
        <v>2185</v>
      </c>
      <c r="C9" s="11">
        <v>9375</v>
      </c>
      <c r="D9" s="11">
        <v>9416</v>
      </c>
      <c r="E9" s="11">
        <v>9458</v>
      </c>
      <c r="F9" s="11">
        <v>9500</v>
      </c>
      <c r="G9" s="11">
        <v>9541</v>
      </c>
      <c r="H9" s="11">
        <v>9583</v>
      </c>
      <c r="I9" s="11">
        <v>9625</v>
      </c>
      <c r="J9" s="11">
        <v>9663</v>
      </c>
      <c r="K9" s="11">
        <v>9700</v>
      </c>
      <c r="L9" s="11">
        <v>9737</v>
      </c>
      <c r="M9" s="11">
        <v>9775</v>
      </c>
      <c r="N9" s="11">
        <v>9813</v>
      </c>
      <c r="O9" s="11">
        <v>9850</v>
      </c>
      <c r="P9" s="22" t="s">
        <v>79</v>
      </c>
    </row>
    <row r="10" spans="1:16" ht="27.75" x14ac:dyDescent="0.2">
      <c r="A10" t="s">
        <v>57</v>
      </c>
      <c r="B10" s="11">
        <v>2965</v>
      </c>
      <c r="C10" s="11">
        <v>8595</v>
      </c>
      <c r="D10" s="11">
        <v>8636</v>
      </c>
      <c r="E10" s="11">
        <v>8678</v>
      </c>
      <c r="F10" s="11">
        <v>8720</v>
      </c>
      <c r="G10" s="11">
        <v>8761</v>
      </c>
      <c r="H10" s="11">
        <v>8803</v>
      </c>
      <c r="I10" s="11">
        <v>8845</v>
      </c>
      <c r="J10" s="11">
        <v>8883</v>
      </c>
      <c r="K10" s="11">
        <v>8920</v>
      </c>
      <c r="L10" s="11">
        <v>8957</v>
      </c>
      <c r="M10" s="11">
        <v>8995</v>
      </c>
      <c r="N10" s="11">
        <v>9033</v>
      </c>
      <c r="O10" s="11">
        <v>9070</v>
      </c>
      <c r="P10" s="22" t="s">
        <v>80</v>
      </c>
    </row>
    <row r="11" spans="1:16" ht="27.75" x14ac:dyDescent="0.2">
      <c r="A11" t="s">
        <v>58</v>
      </c>
      <c r="B11" s="11">
        <v>3575</v>
      </c>
      <c r="C11" s="11">
        <v>7985</v>
      </c>
      <c r="D11" s="11">
        <v>8026</v>
      </c>
      <c r="E11" s="11">
        <v>8068</v>
      </c>
      <c r="F11" s="11">
        <v>8110</v>
      </c>
      <c r="G11" s="11">
        <v>8151</v>
      </c>
      <c r="H11" s="11">
        <v>8193</v>
      </c>
      <c r="I11" s="11">
        <v>8235</v>
      </c>
      <c r="J11" s="11">
        <v>8273</v>
      </c>
      <c r="K11" s="11">
        <v>8310</v>
      </c>
      <c r="L11" s="11">
        <v>8347</v>
      </c>
      <c r="M11" s="11">
        <v>8385</v>
      </c>
      <c r="N11" s="11">
        <v>8423</v>
      </c>
      <c r="O11" s="11">
        <v>8460</v>
      </c>
      <c r="P11" s="22" t="s">
        <v>81</v>
      </c>
    </row>
    <row r="12" spans="1:16" ht="27.75" x14ac:dyDescent="0.2">
      <c r="A12" t="s">
        <v>59</v>
      </c>
      <c r="B12" s="11">
        <v>4230</v>
      </c>
      <c r="C12" s="11">
        <v>7330</v>
      </c>
      <c r="D12" s="11">
        <v>7371</v>
      </c>
      <c r="E12" s="11">
        <v>7413</v>
      </c>
      <c r="F12" s="11">
        <v>7455</v>
      </c>
      <c r="G12" s="11">
        <v>7496</v>
      </c>
      <c r="H12" s="11">
        <v>7538</v>
      </c>
      <c r="I12" s="11">
        <v>7580</v>
      </c>
      <c r="J12" s="11">
        <v>7618</v>
      </c>
      <c r="K12" s="11">
        <v>7655</v>
      </c>
      <c r="L12" s="11">
        <v>7692</v>
      </c>
      <c r="M12" s="11">
        <v>7730</v>
      </c>
      <c r="N12" s="11">
        <v>7768</v>
      </c>
      <c r="O12" s="11">
        <v>7805</v>
      </c>
      <c r="P12" s="22" t="s">
        <v>81</v>
      </c>
    </row>
    <row r="13" spans="1:16" ht="27.75" x14ac:dyDescent="0.2">
      <c r="A13" t="s">
        <v>60</v>
      </c>
      <c r="B13" s="11">
        <v>3285</v>
      </c>
      <c r="C13" s="11">
        <v>8275</v>
      </c>
      <c r="D13" s="11">
        <v>8316</v>
      </c>
      <c r="E13" s="11">
        <v>8358</v>
      </c>
      <c r="F13" s="11">
        <v>8400</v>
      </c>
      <c r="G13" s="11">
        <v>8441</v>
      </c>
      <c r="H13" s="11">
        <v>8483</v>
      </c>
      <c r="I13" s="11">
        <v>8525</v>
      </c>
      <c r="J13" s="11">
        <v>8563</v>
      </c>
      <c r="K13" s="11">
        <v>8600</v>
      </c>
      <c r="L13" s="11">
        <v>8637</v>
      </c>
      <c r="M13" s="11">
        <v>8675</v>
      </c>
      <c r="N13" s="11">
        <v>8713</v>
      </c>
      <c r="O13" s="11">
        <v>8750</v>
      </c>
      <c r="P13" s="22" t="s">
        <v>81</v>
      </c>
    </row>
    <row r="14" spans="1:16" ht="27.75" x14ac:dyDescent="0.2">
      <c r="A14" t="s">
        <v>61</v>
      </c>
      <c r="B14" s="11">
        <v>2215</v>
      </c>
      <c r="C14" s="11">
        <v>9345</v>
      </c>
      <c r="D14" s="11">
        <v>9386</v>
      </c>
      <c r="E14" s="11">
        <v>9428</v>
      </c>
      <c r="F14" s="11">
        <v>9470</v>
      </c>
      <c r="G14" s="11">
        <v>9511</v>
      </c>
      <c r="H14" s="11">
        <v>9553</v>
      </c>
      <c r="I14" s="11">
        <v>9595</v>
      </c>
      <c r="J14" s="11">
        <v>9633</v>
      </c>
      <c r="K14" s="11">
        <v>9670</v>
      </c>
      <c r="L14" s="11">
        <v>9707</v>
      </c>
      <c r="M14" s="11">
        <v>9745</v>
      </c>
      <c r="N14" s="11">
        <v>9783</v>
      </c>
      <c r="O14" s="11">
        <v>9820</v>
      </c>
      <c r="P14" s="22" t="s">
        <v>82</v>
      </c>
    </row>
    <row r="15" spans="1:16" ht="27.75" x14ac:dyDescent="0.2">
      <c r="A15" t="s">
        <v>62</v>
      </c>
      <c r="B15" s="11">
        <v>2140</v>
      </c>
      <c r="C15" s="11">
        <v>9420</v>
      </c>
      <c r="D15" s="11">
        <v>9461</v>
      </c>
      <c r="E15" s="11">
        <v>9503</v>
      </c>
      <c r="F15" s="11">
        <v>9545</v>
      </c>
      <c r="G15" s="11">
        <v>9586</v>
      </c>
      <c r="H15" s="11">
        <v>9628</v>
      </c>
      <c r="I15" s="11">
        <v>9670</v>
      </c>
      <c r="J15" s="11">
        <v>9708</v>
      </c>
      <c r="K15" s="11">
        <v>9745</v>
      </c>
      <c r="L15" s="11">
        <v>9782</v>
      </c>
      <c r="M15" s="11">
        <v>9820</v>
      </c>
      <c r="N15" s="11">
        <v>9858</v>
      </c>
      <c r="O15" s="11">
        <v>9895</v>
      </c>
      <c r="P15" s="22" t="s">
        <v>82</v>
      </c>
    </row>
    <row r="16" spans="1:16" ht="27.75" x14ac:dyDescent="0.2">
      <c r="A16" t="s">
        <v>63</v>
      </c>
      <c r="B16" s="11">
        <v>2405</v>
      </c>
      <c r="C16" s="11">
        <v>9155</v>
      </c>
      <c r="D16" s="11">
        <v>9196</v>
      </c>
      <c r="E16" s="11">
        <v>9238</v>
      </c>
      <c r="F16" s="11">
        <v>9280</v>
      </c>
      <c r="G16" s="11">
        <v>9321</v>
      </c>
      <c r="H16" s="11">
        <v>9363</v>
      </c>
      <c r="I16" s="11">
        <v>9405</v>
      </c>
      <c r="J16" s="11">
        <v>9443</v>
      </c>
      <c r="K16" s="11">
        <v>9480</v>
      </c>
      <c r="L16" s="11">
        <v>9517</v>
      </c>
      <c r="M16" s="11">
        <v>9555</v>
      </c>
      <c r="N16" s="11">
        <v>9593</v>
      </c>
      <c r="O16" s="11">
        <v>9630</v>
      </c>
      <c r="P16" s="22" t="s">
        <v>82</v>
      </c>
    </row>
    <row r="17" spans="1:16" ht="27.75" x14ac:dyDescent="0.2">
      <c r="A17" t="s">
        <v>64</v>
      </c>
      <c r="B17" s="11">
        <v>2610</v>
      </c>
      <c r="C17" s="11">
        <v>8950</v>
      </c>
      <c r="D17" s="11">
        <v>8991</v>
      </c>
      <c r="E17" s="11">
        <v>9033</v>
      </c>
      <c r="F17" s="11">
        <v>9075</v>
      </c>
      <c r="G17" s="11">
        <v>9116</v>
      </c>
      <c r="H17" s="11">
        <v>9158</v>
      </c>
      <c r="I17" s="11">
        <v>9200</v>
      </c>
      <c r="J17" s="11">
        <v>9238</v>
      </c>
      <c r="K17" s="11">
        <v>9275</v>
      </c>
      <c r="L17" s="11">
        <v>9312</v>
      </c>
      <c r="M17" s="11">
        <v>9350</v>
      </c>
      <c r="N17" s="11">
        <v>9388</v>
      </c>
      <c r="O17" s="11">
        <v>9425</v>
      </c>
      <c r="P17" s="22" t="s">
        <v>82</v>
      </c>
    </row>
    <row r="18" spans="1:16" ht="27.75" x14ac:dyDescent="0.2">
      <c r="A18" t="s">
        <v>65</v>
      </c>
      <c r="B18" s="11">
        <v>2430</v>
      </c>
      <c r="C18" s="11">
        <v>9130</v>
      </c>
      <c r="D18" s="11">
        <v>9171</v>
      </c>
      <c r="E18" s="11">
        <v>9213</v>
      </c>
      <c r="F18" s="11">
        <v>9255</v>
      </c>
      <c r="G18" s="11">
        <v>9296</v>
      </c>
      <c r="H18" s="11">
        <v>9338</v>
      </c>
      <c r="I18" s="11">
        <v>9380</v>
      </c>
      <c r="J18" s="11">
        <v>9418</v>
      </c>
      <c r="K18" s="11">
        <v>9455</v>
      </c>
      <c r="L18" s="11">
        <v>9492</v>
      </c>
      <c r="M18" s="11">
        <v>9530</v>
      </c>
      <c r="N18" s="11">
        <v>9568</v>
      </c>
      <c r="O18" s="11">
        <v>9605</v>
      </c>
      <c r="P18" s="22" t="s">
        <v>83</v>
      </c>
    </row>
    <row r="19" spans="1:16" x14ac:dyDescent="0.2">
      <c r="A19" t="s">
        <v>66</v>
      </c>
      <c r="B19" s="11">
        <v>3250</v>
      </c>
      <c r="C19" s="11">
        <v>8310</v>
      </c>
      <c r="D19" s="11">
        <v>8351</v>
      </c>
      <c r="E19" s="11">
        <v>8393</v>
      </c>
      <c r="F19" s="11">
        <v>8435</v>
      </c>
      <c r="G19" s="11">
        <v>8476</v>
      </c>
      <c r="H19" s="11">
        <v>8518</v>
      </c>
      <c r="I19" s="11">
        <v>8560</v>
      </c>
      <c r="J19" s="11">
        <v>8598</v>
      </c>
      <c r="K19" s="11">
        <v>8635</v>
      </c>
      <c r="L19" s="11">
        <v>8672</v>
      </c>
      <c r="M19" s="11">
        <v>8710</v>
      </c>
      <c r="N19" s="11">
        <v>8748</v>
      </c>
      <c r="O19" s="11">
        <v>8785</v>
      </c>
      <c r="P19" s="22" t="s">
        <v>84</v>
      </c>
    </row>
    <row r="20" spans="1:16" ht="27.75" x14ac:dyDescent="0.2">
      <c r="A20" t="s">
        <v>67</v>
      </c>
      <c r="B20" s="11">
        <v>4590</v>
      </c>
      <c r="C20" s="11">
        <v>6970</v>
      </c>
      <c r="D20" s="11">
        <v>7011</v>
      </c>
      <c r="E20" s="11">
        <v>7053</v>
      </c>
      <c r="F20" s="11">
        <v>7095</v>
      </c>
      <c r="G20" s="11">
        <v>7136</v>
      </c>
      <c r="H20" s="11">
        <v>7178</v>
      </c>
      <c r="I20" s="11">
        <v>7220</v>
      </c>
      <c r="J20" s="11">
        <v>7258</v>
      </c>
      <c r="K20" s="11">
        <v>7295</v>
      </c>
      <c r="L20" s="11">
        <v>7332</v>
      </c>
      <c r="M20" s="11">
        <v>7370</v>
      </c>
      <c r="N20" s="11">
        <v>7408</v>
      </c>
      <c r="O20" s="11">
        <v>7445</v>
      </c>
      <c r="P20" s="22" t="s">
        <v>85</v>
      </c>
    </row>
    <row r="21" spans="1:16" ht="27.75" x14ac:dyDescent="0.2">
      <c r="A21" t="s">
        <v>68</v>
      </c>
      <c r="B21" s="11">
        <v>4105</v>
      </c>
      <c r="C21" s="11">
        <v>7455</v>
      </c>
      <c r="D21" s="11">
        <v>7496</v>
      </c>
      <c r="E21" s="11">
        <v>7538</v>
      </c>
      <c r="F21" s="11">
        <v>7580</v>
      </c>
      <c r="G21" s="11">
        <v>7621</v>
      </c>
      <c r="H21" s="11">
        <v>7663</v>
      </c>
      <c r="I21" s="11">
        <v>7705</v>
      </c>
      <c r="J21" s="11">
        <v>7743</v>
      </c>
      <c r="K21" s="11">
        <v>7780</v>
      </c>
      <c r="L21" s="11">
        <v>7817</v>
      </c>
      <c r="M21" s="11">
        <v>7855</v>
      </c>
      <c r="N21" s="11">
        <v>7893</v>
      </c>
      <c r="O21" s="11">
        <v>7930</v>
      </c>
      <c r="P21" s="22" t="s">
        <v>85</v>
      </c>
    </row>
    <row r="22" spans="1:16" ht="27.75" x14ac:dyDescent="0.2">
      <c r="A22" t="s">
        <v>69</v>
      </c>
      <c r="B22" s="11">
        <v>5490</v>
      </c>
      <c r="C22" s="11">
        <v>6070</v>
      </c>
      <c r="D22" s="11">
        <v>6111</v>
      </c>
      <c r="E22" s="11">
        <v>6153</v>
      </c>
      <c r="F22" s="11">
        <v>6195</v>
      </c>
      <c r="G22" s="11">
        <v>6236</v>
      </c>
      <c r="H22" s="11">
        <v>6278</v>
      </c>
      <c r="I22" s="11">
        <v>6320</v>
      </c>
      <c r="J22" s="11">
        <v>6358</v>
      </c>
      <c r="K22" s="11">
        <v>6395</v>
      </c>
      <c r="L22" s="11">
        <v>6432</v>
      </c>
      <c r="M22" s="11">
        <v>6470</v>
      </c>
      <c r="N22" s="11">
        <v>6508</v>
      </c>
      <c r="O22" s="11">
        <v>6545</v>
      </c>
      <c r="P22" s="22" t="s">
        <v>85</v>
      </c>
    </row>
    <row r="23" spans="1:16" ht="27.75" x14ac:dyDescent="0.2">
      <c r="A23" t="s">
        <v>70</v>
      </c>
      <c r="B23" s="11">
        <v>6025</v>
      </c>
      <c r="C23" s="11">
        <v>5535</v>
      </c>
      <c r="D23" s="11">
        <v>5576</v>
      </c>
      <c r="E23" s="11">
        <v>5618</v>
      </c>
      <c r="F23" s="11">
        <v>5660</v>
      </c>
      <c r="G23" s="11">
        <v>5701</v>
      </c>
      <c r="H23" s="11">
        <v>5743</v>
      </c>
      <c r="I23" s="11">
        <v>5785</v>
      </c>
      <c r="J23" s="11">
        <v>5823</v>
      </c>
      <c r="K23" s="11">
        <v>5860</v>
      </c>
      <c r="L23" s="11">
        <v>5897</v>
      </c>
      <c r="M23" s="11">
        <v>5935</v>
      </c>
      <c r="N23" s="11">
        <v>5973</v>
      </c>
      <c r="O23" s="11">
        <v>6010</v>
      </c>
      <c r="P23" s="22" t="s">
        <v>85</v>
      </c>
    </row>
    <row r="24" spans="1:16" ht="27.75" x14ac:dyDescent="0.2">
      <c r="A24" t="s">
        <v>71</v>
      </c>
      <c r="B24" s="11">
        <v>3370</v>
      </c>
      <c r="C24" s="11">
        <v>8190</v>
      </c>
      <c r="D24" s="11">
        <v>8231</v>
      </c>
      <c r="E24" s="11">
        <v>8273</v>
      </c>
      <c r="F24" s="11">
        <v>8315</v>
      </c>
      <c r="G24" s="11">
        <v>8356</v>
      </c>
      <c r="H24" s="11">
        <v>8398</v>
      </c>
      <c r="I24" s="11">
        <v>8440</v>
      </c>
      <c r="J24" s="11">
        <v>8478</v>
      </c>
      <c r="K24" s="11">
        <v>8515</v>
      </c>
      <c r="L24" s="11">
        <v>8552</v>
      </c>
      <c r="M24" s="11">
        <v>8590</v>
      </c>
      <c r="N24" s="11">
        <v>8628</v>
      </c>
      <c r="O24" s="11">
        <v>8665</v>
      </c>
      <c r="P24" s="22" t="s">
        <v>85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4"/>
  <sheetViews>
    <sheetView workbookViewId="0">
      <pane xSplit="2" ySplit="3" topLeftCell="C4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7.98046875" style="19" customWidth="1"/>
    <col min="2" max="2" width="18.0234375" style="19" customWidth="1"/>
    <col min="3" max="28" width="13.98828125" style="19" customWidth="1"/>
  </cols>
  <sheetData>
    <row r="1" spans="1:28" ht="18.75" customHeight="1" x14ac:dyDescent="0.25">
      <c r="A1" s="23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21.95" customHeight="1" x14ac:dyDescent="0.2">
      <c r="C2" s="27" t="s">
        <v>13</v>
      </c>
      <c r="D2" s="28"/>
      <c r="E2" s="27" t="s">
        <v>15</v>
      </c>
      <c r="F2" s="28"/>
      <c r="G2" s="27" t="s">
        <v>17</v>
      </c>
      <c r="H2" s="28"/>
      <c r="I2" s="27" t="s">
        <v>19</v>
      </c>
      <c r="J2" s="28"/>
      <c r="K2" s="27" t="s">
        <v>21</v>
      </c>
      <c r="L2" s="28"/>
      <c r="M2" s="27" t="s">
        <v>23</v>
      </c>
      <c r="N2" s="28"/>
      <c r="O2" s="27" t="s">
        <v>25</v>
      </c>
      <c r="P2" s="28"/>
      <c r="Q2" s="27" t="s">
        <v>27</v>
      </c>
      <c r="R2" s="28"/>
      <c r="S2" s="27" t="s">
        <v>29</v>
      </c>
      <c r="T2" s="28"/>
      <c r="U2" s="27" t="s">
        <v>31</v>
      </c>
      <c r="V2" s="28"/>
      <c r="W2" s="27" t="s">
        <v>33</v>
      </c>
      <c r="X2" s="28"/>
      <c r="Y2" s="27" t="s">
        <v>35</v>
      </c>
      <c r="Z2" s="28"/>
      <c r="AA2" s="27" t="s">
        <v>37</v>
      </c>
      <c r="AB2" s="28"/>
    </row>
    <row r="3" spans="1:28" ht="20.100000000000001" customHeight="1" x14ac:dyDescent="0.2">
      <c r="A3" s="20" t="s">
        <v>41</v>
      </c>
      <c r="B3" s="20" t="s">
        <v>73</v>
      </c>
      <c r="C3" s="20" t="s">
        <v>74</v>
      </c>
      <c r="D3" s="20" t="s">
        <v>75</v>
      </c>
      <c r="E3" s="20" t="s">
        <v>74</v>
      </c>
      <c r="F3" s="20" t="s">
        <v>75</v>
      </c>
      <c r="G3" s="20" t="s">
        <v>74</v>
      </c>
      <c r="H3" s="20" t="s">
        <v>75</v>
      </c>
      <c r="I3" s="20" t="s">
        <v>74</v>
      </c>
      <c r="J3" s="20" t="s">
        <v>75</v>
      </c>
      <c r="K3" s="20" t="s">
        <v>74</v>
      </c>
      <c r="L3" s="20" t="s">
        <v>75</v>
      </c>
      <c r="M3" s="20" t="s">
        <v>74</v>
      </c>
      <c r="N3" s="20" t="s">
        <v>75</v>
      </c>
      <c r="O3" s="20" t="s">
        <v>74</v>
      </c>
      <c r="P3" s="20" t="s">
        <v>75</v>
      </c>
      <c r="Q3" s="20" t="s">
        <v>74</v>
      </c>
      <c r="R3" s="20" t="s">
        <v>75</v>
      </c>
      <c r="S3" s="20" t="s">
        <v>74</v>
      </c>
      <c r="T3" s="20" t="s">
        <v>75</v>
      </c>
      <c r="U3" s="20" t="s">
        <v>74</v>
      </c>
      <c r="V3" s="20" t="s">
        <v>75</v>
      </c>
      <c r="W3" s="20" t="s">
        <v>74</v>
      </c>
      <c r="X3" s="20" t="s">
        <v>75</v>
      </c>
      <c r="Y3" s="20" t="s">
        <v>74</v>
      </c>
      <c r="Z3" s="20" t="s">
        <v>75</v>
      </c>
      <c r="AA3" s="20" t="s">
        <v>74</v>
      </c>
      <c r="AB3" s="20" t="s">
        <v>75</v>
      </c>
    </row>
    <row r="4" spans="1:28" x14ac:dyDescent="0.2">
      <c r="A4" s="14" t="s">
        <v>51</v>
      </c>
      <c r="B4" s="15">
        <v>2980</v>
      </c>
      <c r="C4" s="15">
        <v>11560</v>
      </c>
      <c r="D4" s="15">
        <v>8580</v>
      </c>
      <c r="E4" s="15">
        <v>11601</v>
      </c>
      <c r="F4" s="15">
        <v>8621</v>
      </c>
      <c r="G4" s="15">
        <v>11643</v>
      </c>
      <c r="H4" s="15">
        <v>8663</v>
      </c>
      <c r="I4" s="15">
        <v>11685</v>
      </c>
      <c r="J4" s="15">
        <v>8705</v>
      </c>
      <c r="K4" s="15">
        <v>11726</v>
      </c>
      <c r="L4" s="15">
        <v>8746</v>
      </c>
      <c r="M4" s="15">
        <v>11768</v>
      </c>
      <c r="N4" s="15">
        <v>8788</v>
      </c>
      <c r="O4" s="15">
        <v>11810</v>
      </c>
      <c r="P4" s="15">
        <v>8830</v>
      </c>
      <c r="Q4" s="15">
        <v>11848</v>
      </c>
      <c r="R4" s="15">
        <v>8868</v>
      </c>
      <c r="S4" s="15">
        <v>11885</v>
      </c>
      <c r="T4" s="15">
        <v>8905</v>
      </c>
      <c r="U4" s="15">
        <v>11922</v>
      </c>
      <c r="V4" s="15">
        <v>8942</v>
      </c>
      <c r="W4" s="15">
        <v>11960</v>
      </c>
      <c r="X4" s="15">
        <v>8980</v>
      </c>
      <c r="Y4" s="15">
        <v>11998</v>
      </c>
      <c r="Z4" s="15">
        <v>9018</v>
      </c>
      <c r="AA4" s="15">
        <v>12035</v>
      </c>
      <c r="AB4" s="15">
        <v>9055</v>
      </c>
    </row>
    <row r="5" spans="1:28" x14ac:dyDescent="0.2">
      <c r="A5" s="14" t="s">
        <v>52</v>
      </c>
      <c r="B5" s="15">
        <v>3420</v>
      </c>
      <c r="C5" s="15">
        <v>11560</v>
      </c>
      <c r="D5" s="15">
        <v>8140</v>
      </c>
      <c r="E5" s="15">
        <v>11601</v>
      </c>
      <c r="F5" s="15">
        <v>8181</v>
      </c>
      <c r="G5" s="15">
        <v>11643</v>
      </c>
      <c r="H5" s="15">
        <v>8223</v>
      </c>
      <c r="I5" s="15">
        <v>11685</v>
      </c>
      <c r="J5" s="15">
        <v>8265</v>
      </c>
      <c r="K5" s="15">
        <v>11726</v>
      </c>
      <c r="L5" s="15">
        <v>8306</v>
      </c>
      <c r="M5" s="15">
        <v>11768</v>
      </c>
      <c r="N5" s="15">
        <v>8348</v>
      </c>
      <c r="O5" s="15">
        <v>11810</v>
      </c>
      <c r="P5" s="15">
        <v>8390</v>
      </c>
      <c r="Q5" s="15">
        <v>11848</v>
      </c>
      <c r="R5" s="15">
        <v>8428</v>
      </c>
      <c r="S5" s="15">
        <v>11885</v>
      </c>
      <c r="T5" s="15">
        <v>8465</v>
      </c>
      <c r="U5" s="15">
        <v>11922</v>
      </c>
      <c r="V5" s="15">
        <v>8502</v>
      </c>
      <c r="W5" s="15">
        <v>11960</v>
      </c>
      <c r="X5" s="15">
        <v>8540</v>
      </c>
      <c r="Y5" s="15">
        <v>11998</v>
      </c>
      <c r="Z5" s="15">
        <v>8578</v>
      </c>
      <c r="AA5" s="15">
        <v>12035</v>
      </c>
      <c r="AB5" s="15">
        <v>8615</v>
      </c>
    </row>
    <row r="6" spans="1:28" x14ac:dyDescent="0.2">
      <c r="A6" s="14" t="s">
        <v>53</v>
      </c>
      <c r="B6" s="15">
        <v>4035</v>
      </c>
      <c r="C6" s="15">
        <v>11560</v>
      </c>
      <c r="D6" s="15">
        <v>7525</v>
      </c>
      <c r="E6" s="15">
        <v>11601</v>
      </c>
      <c r="F6" s="15">
        <v>7566</v>
      </c>
      <c r="G6" s="15">
        <v>11643</v>
      </c>
      <c r="H6" s="15">
        <v>7608</v>
      </c>
      <c r="I6" s="15">
        <v>11685</v>
      </c>
      <c r="J6" s="15">
        <v>7650</v>
      </c>
      <c r="K6" s="15">
        <v>11726</v>
      </c>
      <c r="L6" s="15">
        <v>7691</v>
      </c>
      <c r="M6" s="15">
        <v>11768</v>
      </c>
      <c r="N6" s="15">
        <v>7733</v>
      </c>
      <c r="O6" s="15">
        <v>11810</v>
      </c>
      <c r="P6" s="15">
        <v>7775</v>
      </c>
      <c r="Q6" s="15">
        <v>11848</v>
      </c>
      <c r="R6" s="15">
        <v>7813</v>
      </c>
      <c r="S6" s="15">
        <v>11885</v>
      </c>
      <c r="T6" s="15">
        <v>7850</v>
      </c>
      <c r="U6" s="15">
        <v>11922</v>
      </c>
      <c r="V6" s="15">
        <v>7887</v>
      </c>
      <c r="W6" s="15">
        <v>11960</v>
      </c>
      <c r="X6" s="15">
        <v>7925</v>
      </c>
      <c r="Y6" s="15">
        <v>11998</v>
      </c>
      <c r="Z6" s="15">
        <v>7963</v>
      </c>
      <c r="AA6" s="15">
        <v>12035</v>
      </c>
      <c r="AB6" s="15">
        <v>8000</v>
      </c>
    </row>
    <row r="7" spans="1:28" x14ac:dyDescent="0.2">
      <c r="A7" s="14" t="s">
        <v>54</v>
      </c>
      <c r="B7" s="15">
        <v>2450</v>
      </c>
      <c r="C7" s="15">
        <v>11560</v>
      </c>
      <c r="D7" s="15">
        <v>9110</v>
      </c>
      <c r="E7" s="15">
        <v>11601</v>
      </c>
      <c r="F7" s="15">
        <v>9151</v>
      </c>
      <c r="G7" s="15">
        <v>11643</v>
      </c>
      <c r="H7" s="15">
        <v>9193</v>
      </c>
      <c r="I7" s="15">
        <v>11685</v>
      </c>
      <c r="J7" s="15">
        <v>9235</v>
      </c>
      <c r="K7" s="15">
        <v>11726</v>
      </c>
      <c r="L7" s="15">
        <v>9276</v>
      </c>
      <c r="M7" s="15">
        <v>11768</v>
      </c>
      <c r="N7" s="15">
        <v>9318</v>
      </c>
      <c r="O7" s="15">
        <v>11810</v>
      </c>
      <c r="P7" s="15">
        <v>9360</v>
      </c>
      <c r="Q7" s="15">
        <v>11848</v>
      </c>
      <c r="R7" s="15">
        <v>9398</v>
      </c>
      <c r="S7" s="15">
        <v>11885</v>
      </c>
      <c r="T7" s="15">
        <v>9435</v>
      </c>
      <c r="U7" s="15">
        <v>11922</v>
      </c>
      <c r="V7" s="15">
        <v>9472</v>
      </c>
      <c r="W7" s="15">
        <v>11960</v>
      </c>
      <c r="X7" s="15">
        <v>9510</v>
      </c>
      <c r="Y7" s="15">
        <v>11998</v>
      </c>
      <c r="Z7" s="15">
        <v>9548</v>
      </c>
      <c r="AA7" s="15">
        <v>12035</v>
      </c>
      <c r="AB7" s="15">
        <v>9585</v>
      </c>
    </row>
    <row r="8" spans="1:28" x14ac:dyDescent="0.2">
      <c r="A8" s="14" t="s">
        <v>55</v>
      </c>
      <c r="B8" s="15">
        <v>3355</v>
      </c>
      <c r="C8" s="15">
        <v>11560</v>
      </c>
      <c r="D8" s="15">
        <v>8205</v>
      </c>
      <c r="E8" s="15">
        <v>11601</v>
      </c>
      <c r="F8" s="15">
        <v>8246</v>
      </c>
      <c r="G8" s="15">
        <v>11643</v>
      </c>
      <c r="H8" s="15">
        <v>8288</v>
      </c>
      <c r="I8" s="15">
        <v>11685</v>
      </c>
      <c r="J8" s="15">
        <v>8330</v>
      </c>
      <c r="K8" s="15">
        <v>11726</v>
      </c>
      <c r="L8" s="15">
        <v>8371</v>
      </c>
      <c r="M8" s="15">
        <v>11768</v>
      </c>
      <c r="N8" s="15">
        <v>8413</v>
      </c>
      <c r="O8" s="15">
        <v>11810</v>
      </c>
      <c r="P8" s="15">
        <v>8455</v>
      </c>
      <c r="Q8" s="15">
        <v>11848</v>
      </c>
      <c r="R8" s="15">
        <v>8493</v>
      </c>
      <c r="S8" s="15">
        <v>11885</v>
      </c>
      <c r="T8" s="15">
        <v>8530</v>
      </c>
      <c r="U8" s="15">
        <v>11922</v>
      </c>
      <c r="V8" s="15">
        <v>8567</v>
      </c>
      <c r="W8" s="15">
        <v>11960</v>
      </c>
      <c r="X8" s="15">
        <v>8605</v>
      </c>
      <c r="Y8" s="15">
        <v>11998</v>
      </c>
      <c r="Z8" s="15">
        <v>8643</v>
      </c>
      <c r="AA8" s="15">
        <v>12035</v>
      </c>
      <c r="AB8" s="15">
        <v>8680</v>
      </c>
    </row>
    <row r="9" spans="1:28" x14ac:dyDescent="0.2">
      <c r="A9" s="14" t="s">
        <v>56</v>
      </c>
      <c r="B9" s="15">
        <v>2185</v>
      </c>
      <c r="C9" s="15">
        <v>11560</v>
      </c>
      <c r="D9" s="15">
        <v>9375</v>
      </c>
      <c r="E9" s="15">
        <v>11601</v>
      </c>
      <c r="F9" s="15">
        <v>9416</v>
      </c>
      <c r="G9" s="15">
        <v>11643</v>
      </c>
      <c r="H9" s="15">
        <v>9458</v>
      </c>
      <c r="I9" s="15">
        <v>11685</v>
      </c>
      <c r="J9" s="15">
        <v>9500</v>
      </c>
      <c r="K9" s="15">
        <v>11726</v>
      </c>
      <c r="L9" s="15">
        <v>9541</v>
      </c>
      <c r="M9" s="15">
        <v>11768</v>
      </c>
      <c r="N9" s="15">
        <v>9583</v>
      </c>
      <c r="O9" s="15">
        <v>11810</v>
      </c>
      <c r="P9" s="15">
        <v>9625</v>
      </c>
      <c r="Q9" s="15">
        <v>11848</v>
      </c>
      <c r="R9" s="15">
        <v>9663</v>
      </c>
      <c r="S9" s="15">
        <v>11885</v>
      </c>
      <c r="T9" s="15">
        <v>9700</v>
      </c>
      <c r="U9" s="15">
        <v>11922</v>
      </c>
      <c r="V9" s="15">
        <v>9737</v>
      </c>
      <c r="W9" s="15">
        <v>11960</v>
      </c>
      <c r="X9" s="15">
        <v>9775</v>
      </c>
      <c r="Y9" s="15">
        <v>11998</v>
      </c>
      <c r="Z9" s="15">
        <v>9813</v>
      </c>
      <c r="AA9" s="15">
        <v>12035</v>
      </c>
      <c r="AB9" s="15">
        <v>9850</v>
      </c>
    </row>
    <row r="10" spans="1:28" x14ac:dyDescent="0.2">
      <c r="A10" s="14" t="s">
        <v>57</v>
      </c>
      <c r="B10" s="15">
        <v>2965</v>
      </c>
      <c r="C10" s="15">
        <v>11560</v>
      </c>
      <c r="D10" s="15">
        <v>8595</v>
      </c>
      <c r="E10" s="15">
        <v>11601</v>
      </c>
      <c r="F10" s="15">
        <v>8636</v>
      </c>
      <c r="G10" s="15">
        <v>11643</v>
      </c>
      <c r="H10" s="15">
        <v>8678</v>
      </c>
      <c r="I10" s="15">
        <v>11685</v>
      </c>
      <c r="J10" s="15">
        <v>8720</v>
      </c>
      <c r="K10" s="15">
        <v>11726</v>
      </c>
      <c r="L10" s="15">
        <v>8761</v>
      </c>
      <c r="M10" s="15">
        <v>11768</v>
      </c>
      <c r="N10" s="15">
        <v>8803</v>
      </c>
      <c r="O10" s="15">
        <v>11810</v>
      </c>
      <c r="P10" s="15">
        <v>8845</v>
      </c>
      <c r="Q10" s="15">
        <v>11848</v>
      </c>
      <c r="R10" s="15">
        <v>8883</v>
      </c>
      <c r="S10" s="15">
        <v>11885</v>
      </c>
      <c r="T10" s="15">
        <v>8920</v>
      </c>
      <c r="U10" s="15">
        <v>11922</v>
      </c>
      <c r="V10" s="15">
        <v>8957</v>
      </c>
      <c r="W10" s="15">
        <v>11960</v>
      </c>
      <c r="X10" s="15">
        <v>8995</v>
      </c>
      <c r="Y10" s="15">
        <v>11998</v>
      </c>
      <c r="Z10" s="15">
        <v>9033</v>
      </c>
      <c r="AA10" s="15">
        <v>12035</v>
      </c>
      <c r="AB10" s="15">
        <v>9070</v>
      </c>
    </row>
    <row r="11" spans="1:28" x14ac:dyDescent="0.2">
      <c r="A11" s="14" t="s">
        <v>58</v>
      </c>
      <c r="B11" s="15">
        <v>3575</v>
      </c>
      <c r="C11" s="15">
        <v>11560</v>
      </c>
      <c r="D11" s="15">
        <v>7985</v>
      </c>
      <c r="E11" s="15">
        <v>11601</v>
      </c>
      <c r="F11" s="15">
        <v>8026</v>
      </c>
      <c r="G11" s="15">
        <v>11643</v>
      </c>
      <c r="H11" s="15">
        <v>8068</v>
      </c>
      <c r="I11" s="15">
        <v>11685</v>
      </c>
      <c r="J11" s="15">
        <v>8110</v>
      </c>
      <c r="K11" s="15">
        <v>11726</v>
      </c>
      <c r="L11" s="15">
        <v>8151</v>
      </c>
      <c r="M11" s="15">
        <v>11768</v>
      </c>
      <c r="N11" s="15">
        <v>8193</v>
      </c>
      <c r="O11" s="15">
        <v>11810</v>
      </c>
      <c r="P11" s="15">
        <v>8235</v>
      </c>
      <c r="Q11" s="15">
        <v>11848</v>
      </c>
      <c r="R11" s="15">
        <v>8273</v>
      </c>
      <c r="S11" s="15">
        <v>11885</v>
      </c>
      <c r="T11" s="15">
        <v>8310</v>
      </c>
      <c r="U11" s="15">
        <v>11922</v>
      </c>
      <c r="V11" s="15">
        <v>8347</v>
      </c>
      <c r="W11" s="15">
        <v>11960</v>
      </c>
      <c r="X11" s="15">
        <v>8385</v>
      </c>
      <c r="Y11" s="15">
        <v>11998</v>
      </c>
      <c r="Z11" s="15">
        <v>8423</v>
      </c>
      <c r="AA11" s="15">
        <v>12035</v>
      </c>
      <c r="AB11" s="15">
        <v>8460</v>
      </c>
    </row>
    <row r="12" spans="1:28" x14ac:dyDescent="0.2">
      <c r="A12" s="14" t="s">
        <v>59</v>
      </c>
      <c r="B12" s="15">
        <v>4230</v>
      </c>
      <c r="C12" s="15">
        <v>11560</v>
      </c>
      <c r="D12" s="15">
        <v>7330</v>
      </c>
      <c r="E12" s="15">
        <v>11601</v>
      </c>
      <c r="F12" s="15">
        <v>7371</v>
      </c>
      <c r="G12" s="15">
        <v>11643</v>
      </c>
      <c r="H12" s="15">
        <v>7413</v>
      </c>
      <c r="I12" s="15">
        <v>11685</v>
      </c>
      <c r="J12" s="15">
        <v>7455</v>
      </c>
      <c r="K12" s="15">
        <v>11726</v>
      </c>
      <c r="L12" s="15">
        <v>7496</v>
      </c>
      <c r="M12" s="15">
        <v>11768</v>
      </c>
      <c r="N12" s="15">
        <v>7538</v>
      </c>
      <c r="O12" s="15">
        <v>11810</v>
      </c>
      <c r="P12" s="15">
        <v>7580</v>
      </c>
      <c r="Q12" s="15">
        <v>11848</v>
      </c>
      <c r="R12" s="15">
        <v>7618</v>
      </c>
      <c r="S12" s="15">
        <v>11885</v>
      </c>
      <c r="T12" s="15">
        <v>7655</v>
      </c>
      <c r="U12" s="15">
        <v>11922</v>
      </c>
      <c r="V12" s="15">
        <v>7692</v>
      </c>
      <c r="W12" s="15">
        <v>11960</v>
      </c>
      <c r="X12" s="15">
        <v>7730</v>
      </c>
      <c r="Y12" s="15">
        <v>11998</v>
      </c>
      <c r="Z12" s="15">
        <v>7768</v>
      </c>
      <c r="AA12" s="15">
        <v>12035</v>
      </c>
      <c r="AB12" s="15">
        <v>7805</v>
      </c>
    </row>
    <row r="13" spans="1:28" x14ac:dyDescent="0.2">
      <c r="A13" s="14" t="s">
        <v>60</v>
      </c>
      <c r="B13" s="15">
        <v>3285</v>
      </c>
      <c r="C13" s="15">
        <v>11560</v>
      </c>
      <c r="D13" s="15">
        <v>8275</v>
      </c>
      <c r="E13" s="15">
        <v>11601</v>
      </c>
      <c r="F13" s="15">
        <v>8316</v>
      </c>
      <c r="G13" s="15">
        <v>11643</v>
      </c>
      <c r="H13" s="15">
        <v>8358</v>
      </c>
      <c r="I13" s="15">
        <v>11685</v>
      </c>
      <c r="J13" s="15">
        <v>8400</v>
      </c>
      <c r="K13" s="15">
        <v>11726</v>
      </c>
      <c r="L13" s="15">
        <v>8441</v>
      </c>
      <c r="M13" s="15">
        <v>11768</v>
      </c>
      <c r="N13" s="15">
        <v>8483</v>
      </c>
      <c r="O13" s="15">
        <v>11810</v>
      </c>
      <c r="P13" s="15">
        <v>8525</v>
      </c>
      <c r="Q13" s="15">
        <v>11848</v>
      </c>
      <c r="R13" s="15">
        <v>8563</v>
      </c>
      <c r="S13" s="15">
        <v>11885</v>
      </c>
      <c r="T13" s="15">
        <v>8600</v>
      </c>
      <c r="U13" s="15">
        <v>11922</v>
      </c>
      <c r="V13" s="15">
        <v>8637</v>
      </c>
      <c r="W13" s="15">
        <v>11960</v>
      </c>
      <c r="X13" s="15">
        <v>8675</v>
      </c>
      <c r="Y13" s="15">
        <v>11998</v>
      </c>
      <c r="Z13" s="15">
        <v>8713</v>
      </c>
      <c r="AA13" s="15">
        <v>12035</v>
      </c>
      <c r="AB13" s="15">
        <v>8750</v>
      </c>
    </row>
    <row r="14" spans="1:28" x14ac:dyDescent="0.2">
      <c r="A14" s="14" t="s">
        <v>61</v>
      </c>
      <c r="B14" s="15">
        <v>2215</v>
      </c>
      <c r="C14" s="15">
        <v>11560</v>
      </c>
      <c r="D14" s="15">
        <v>9345</v>
      </c>
      <c r="E14" s="15">
        <v>11601</v>
      </c>
      <c r="F14" s="15">
        <v>9386</v>
      </c>
      <c r="G14" s="15">
        <v>11643</v>
      </c>
      <c r="H14" s="15">
        <v>9428</v>
      </c>
      <c r="I14" s="15">
        <v>11685</v>
      </c>
      <c r="J14" s="15">
        <v>9470</v>
      </c>
      <c r="K14" s="15">
        <v>11726</v>
      </c>
      <c r="L14" s="15">
        <v>9511</v>
      </c>
      <c r="M14" s="15">
        <v>11768</v>
      </c>
      <c r="N14" s="15">
        <v>9553</v>
      </c>
      <c r="O14" s="15">
        <v>11810</v>
      </c>
      <c r="P14" s="15">
        <v>9595</v>
      </c>
      <c r="Q14" s="15">
        <v>11848</v>
      </c>
      <c r="R14" s="15">
        <v>9633</v>
      </c>
      <c r="S14" s="15">
        <v>11885</v>
      </c>
      <c r="T14" s="15">
        <v>9670</v>
      </c>
      <c r="U14" s="15">
        <v>11922</v>
      </c>
      <c r="V14" s="15">
        <v>9707</v>
      </c>
      <c r="W14" s="15">
        <v>11960</v>
      </c>
      <c r="X14" s="15">
        <v>9745</v>
      </c>
      <c r="Y14" s="15">
        <v>11998</v>
      </c>
      <c r="Z14" s="15">
        <v>9783</v>
      </c>
      <c r="AA14" s="15">
        <v>12035</v>
      </c>
      <c r="AB14" s="15">
        <v>9820</v>
      </c>
    </row>
    <row r="15" spans="1:28" x14ac:dyDescent="0.2">
      <c r="A15" s="14" t="s">
        <v>62</v>
      </c>
      <c r="B15" s="15">
        <v>2140</v>
      </c>
      <c r="C15" s="15">
        <v>11560</v>
      </c>
      <c r="D15" s="15">
        <v>9420</v>
      </c>
      <c r="E15" s="15">
        <v>11601</v>
      </c>
      <c r="F15" s="15">
        <v>9461</v>
      </c>
      <c r="G15" s="15">
        <v>11643</v>
      </c>
      <c r="H15" s="15">
        <v>9503</v>
      </c>
      <c r="I15" s="15">
        <v>11685</v>
      </c>
      <c r="J15" s="15">
        <v>9545</v>
      </c>
      <c r="K15" s="15">
        <v>11726</v>
      </c>
      <c r="L15" s="15">
        <v>9586</v>
      </c>
      <c r="M15" s="15">
        <v>11768</v>
      </c>
      <c r="N15" s="15">
        <v>9628</v>
      </c>
      <c r="O15" s="15">
        <v>11810</v>
      </c>
      <c r="P15" s="15">
        <v>9670</v>
      </c>
      <c r="Q15" s="15">
        <v>11848</v>
      </c>
      <c r="R15" s="15">
        <v>9708</v>
      </c>
      <c r="S15" s="15">
        <v>11885</v>
      </c>
      <c r="T15" s="15">
        <v>9745</v>
      </c>
      <c r="U15" s="15">
        <v>11922</v>
      </c>
      <c r="V15" s="15">
        <v>9782</v>
      </c>
      <c r="W15" s="15">
        <v>11960</v>
      </c>
      <c r="X15" s="15">
        <v>9820</v>
      </c>
      <c r="Y15" s="15">
        <v>11998</v>
      </c>
      <c r="Z15" s="15">
        <v>9858</v>
      </c>
      <c r="AA15" s="15">
        <v>12035</v>
      </c>
      <c r="AB15" s="15">
        <v>9895</v>
      </c>
    </row>
    <row r="16" spans="1:28" x14ac:dyDescent="0.2">
      <c r="A16" s="14" t="s">
        <v>63</v>
      </c>
      <c r="B16" s="15">
        <v>2405</v>
      </c>
      <c r="C16" s="15">
        <v>11560</v>
      </c>
      <c r="D16" s="15">
        <v>9155</v>
      </c>
      <c r="E16" s="15">
        <v>11601</v>
      </c>
      <c r="F16" s="15">
        <v>9196</v>
      </c>
      <c r="G16" s="15">
        <v>11643</v>
      </c>
      <c r="H16" s="15">
        <v>9238</v>
      </c>
      <c r="I16" s="15">
        <v>11685</v>
      </c>
      <c r="J16" s="15">
        <v>9280</v>
      </c>
      <c r="K16" s="15">
        <v>11726</v>
      </c>
      <c r="L16" s="15">
        <v>9321</v>
      </c>
      <c r="M16" s="15">
        <v>11768</v>
      </c>
      <c r="N16" s="15">
        <v>9363</v>
      </c>
      <c r="O16" s="15">
        <v>11810</v>
      </c>
      <c r="P16" s="15">
        <v>9405</v>
      </c>
      <c r="Q16" s="15">
        <v>11848</v>
      </c>
      <c r="R16" s="15">
        <v>9443</v>
      </c>
      <c r="S16" s="15">
        <v>11885</v>
      </c>
      <c r="T16" s="15">
        <v>9480</v>
      </c>
      <c r="U16" s="15">
        <v>11922</v>
      </c>
      <c r="V16" s="15">
        <v>9517</v>
      </c>
      <c r="W16" s="15">
        <v>11960</v>
      </c>
      <c r="X16" s="15">
        <v>9555</v>
      </c>
      <c r="Y16" s="15">
        <v>11998</v>
      </c>
      <c r="Z16" s="15">
        <v>9593</v>
      </c>
      <c r="AA16" s="15">
        <v>12035</v>
      </c>
      <c r="AB16" s="15">
        <v>9630</v>
      </c>
    </row>
    <row r="17" spans="1:28" x14ac:dyDescent="0.2">
      <c r="A17" s="14" t="s">
        <v>64</v>
      </c>
      <c r="B17" s="15">
        <v>2610</v>
      </c>
      <c r="C17" s="15">
        <v>11560</v>
      </c>
      <c r="D17" s="15">
        <v>8950</v>
      </c>
      <c r="E17" s="15">
        <v>11601</v>
      </c>
      <c r="F17" s="15">
        <v>8991</v>
      </c>
      <c r="G17" s="15">
        <v>11643</v>
      </c>
      <c r="H17" s="15">
        <v>9033</v>
      </c>
      <c r="I17" s="15">
        <v>11685</v>
      </c>
      <c r="J17" s="15">
        <v>9075</v>
      </c>
      <c r="K17" s="15">
        <v>11726</v>
      </c>
      <c r="L17" s="15">
        <v>9116</v>
      </c>
      <c r="M17" s="15">
        <v>11768</v>
      </c>
      <c r="N17" s="15">
        <v>9158</v>
      </c>
      <c r="O17" s="15">
        <v>11810</v>
      </c>
      <c r="P17" s="15">
        <v>9200</v>
      </c>
      <c r="Q17" s="15">
        <v>11848</v>
      </c>
      <c r="R17" s="15">
        <v>9238</v>
      </c>
      <c r="S17" s="15">
        <v>11885</v>
      </c>
      <c r="T17" s="15">
        <v>9275</v>
      </c>
      <c r="U17" s="15">
        <v>11922</v>
      </c>
      <c r="V17" s="15">
        <v>9312</v>
      </c>
      <c r="W17" s="15">
        <v>11960</v>
      </c>
      <c r="X17" s="15">
        <v>9350</v>
      </c>
      <c r="Y17" s="15">
        <v>11998</v>
      </c>
      <c r="Z17" s="15">
        <v>9388</v>
      </c>
      <c r="AA17" s="15">
        <v>12035</v>
      </c>
      <c r="AB17" s="15">
        <v>9425</v>
      </c>
    </row>
    <row r="18" spans="1:28" x14ac:dyDescent="0.2">
      <c r="A18" s="14" t="s">
        <v>65</v>
      </c>
      <c r="B18" s="15">
        <v>2430</v>
      </c>
      <c r="C18" s="15">
        <v>11560</v>
      </c>
      <c r="D18" s="15">
        <v>9130</v>
      </c>
      <c r="E18" s="15">
        <v>11601</v>
      </c>
      <c r="F18" s="15">
        <v>9171</v>
      </c>
      <c r="G18" s="15">
        <v>11643</v>
      </c>
      <c r="H18" s="15">
        <v>9213</v>
      </c>
      <c r="I18" s="15">
        <v>11685</v>
      </c>
      <c r="J18" s="15">
        <v>9255</v>
      </c>
      <c r="K18" s="15">
        <v>11726</v>
      </c>
      <c r="L18" s="15">
        <v>9296</v>
      </c>
      <c r="M18" s="15">
        <v>11768</v>
      </c>
      <c r="N18" s="15">
        <v>9338</v>
      </c>
      <c r="O18" s="15">
        <v>11810</v>
      </c>
      <c r="P18" s="15">
        <v>9380</v>
      </c>
      <c r="Q18" s="15">
        <v>11848</v>
      </c>
      <c r="R18" s="15">
        <v>9418</v>
      </c>
      <c r="S18" s="15">
        <v>11885</v>
      </c>
      <c r="T18" s="15">
        <v>9455</v>
      </c>
      <c r="U18" s="15">
        <v>11922</v>
      </c>
      <c r="V18" s="15">
        <v>9492</v>
      </c>
      <c r="W18" s="15">
        <v>11960</v>
      </c>
      <c r="X18" s="15">
        <v>9530</v>
      </c>
      <c r="Y18" s="15">
        <v>11998</v>
      </c>
      <c r="Z18" s="15">
        <v>9568</v>
      </c>
      <c r="AA18" s="15">
        <v>12035</v>
      </c>
      <c r="AB18" s="15">
        <v>9605</v>
      </c>
    </row>
    <row r="19" spans="1:28" x14ac:dyDescent="0.2">
      <c r="A19" s="14" t="s">
        <v>66</v>
      </c>
      <c r="B19" s="15">
        <v>3250</v>
      </c>
      <c r="C19" s="15">
        <v>11560</v>
      </c>
      <c r="D19" s="15">
        <v>8310</v>
      </c>
      <c r="E19" s="15">
        <v>11601</v>
      </c>
      <c r="F19" s="15">
        <v>8351</v>
      </c>
      <c r="G19" s="15">
        <v>11643</v>
      </c>
      <c r="H19" s="15">
        <v>8393</v>
      </c>
      <c r="I19" s="15">
        <v>11685</v>
      </c>
      <c r="J19" s="15">
        <v>8435</v>
      </c>
      <c r="K19" s="15">
        <v>11726</v>
      </c>
      <c r="L19" s="15">
        <v>8476</v>
      </c>
      <c r="M19" s="15">
        <v>11768</v>
      </c>
      <c r="N19" s="15">
        <v>8518</v>
      </c>
      <c r="O19" s="15">
        <v>11810</v>
      </c>
      <c r="P19" s="15">
        <v>8560</v>
      </c>
      <c r="Q19" s="15">
        <v>11848</v>
      </c>
      <c r="R19" s="15">
        <v>8598</v>
      </c>
      <c r="S19" s="15">
        <v>11885</v>
      </c>
      <c r="T19" s="15">
        <v>8635</v>
      </c>
      <c r="U19" s="15">
        <v>11922</v>
      </c>
      <c r="V19" s="15">
        <v>8672</v>
      </c>
      <c r="W19" s="15">
        <v>11960</v>
      </c>
      <c r="X19" s="15">
        <v>8710</v>
      </c>
      <c r="Y19" s="15">
        <v>11998</v>
      </c>
      <c r="Z19" s="15">
        <v>8748</v>
      </c>
      <c r="AA19" s="15">
        <v>12035</v>
      </c>
      <c r="AB19" s="15">
        <v>8785</v>
      </c>
    </row>
    <row r="20" spans="1:28" x14ac:dyDescent="0.2">
      <c r="A20" s="14" t="s">
        <v>67</v>
      </c>
      <c r="B20" s="15">
        <v>4590</v>
      </c>
      <c r="C20" s="15">
        <v>11560</v>
      </c>
      <c r="D20" s="15">
        <v>6970</v>
      </c>
      <c r="E20" s="15">
        <v>11601</v>
      </c>
      <c r="F20" s="15">
        <v>7011</v>
      </c>
      <c r="G20" s="15">
        <v>11643</v>
      </c>
      <c r="H20" s="15">
        <v>7053</v>
      </c>
      <c r="I20" s="15">
        <v>11685</v>
      </c>
      <c r="J20" s="15">
        <v>7095</v>
      </c>
      <c r="K20" s="15">
        <v>11726</v>
      </c>
      <c r="L20" s="15">
        <v>7136</v>
      </c>
      <c r="M20" s="15">
        <v>11768</v>
      </c>
      <c r="N20" s="15">
        <v>7178</v>
      </c>
      <c r="O20" s="15">
        <v>11810</v>
      </c>
      <c r="P20" s="15">
        <v>7220</v>
      </c>
      <c r="Q20" s="15">
        <v>11848</v>
      </c>
      <c r="R20" s="15">
        <v>7258</v>
      </c>
      <c r="S20" s="15">
        <v>11885</v>
      </c>
      <c r="T20" s="15">
        <v>7295</v>
      </c>
      <c r="U20" s="15">
        <v>11922</v>
      </c>
      <c r="V20" s="15">
        <v>7332</v>
      </c>
      <c r="W20" s="15">
        <v>11960</v>
      </c>
      <c r="X20" s="15">
        <v>7370</v>
      </c>
      <c r="Y20" s="15">
        <v>11998</v>
      </c>
      <c r="Z20" s="15">
        <v>7408</v>
      </c>
      <c r="AA20" s="15">
        <v>12035</v>
      </c>
      <c r="AB20" s="15">
        <v>7445</v>
      </c>
    </row>
    <row r="21" spans="1:28" x14ac:dyDescent="0.2">
      <c r="A21" s="14" t="s">
        <v>68</v>
      </c>
      <c r="B21" s="15">
        <v>4105</v>
      </c>
      <c r="C21" s="15">
        <v>11560</v>
      </c>
      <c r="D21" s="15">
        <v>7455</v>
      </c>
      <c r="E21" s="15">
        <v>11601</v>
      </c>
      <c r="F21" s="15">
        <v>7496</v>
      </c>
      <c r="G21" s="15">
        <v>11643</v>
      </c>
      <c r="H21" s="15">
        <v>7538</v>
      </c>
      <c r="I21" s="15">
        <v>11685</v>
      </c>
      <c r="J21" s="15">
        <v>7580</v>
      </c>
      <c r="K21" s="15">
        <v>11726</v>
      </c>
      <c r="L21" s="15">
        <v>7621</v>
      </c>
      <c r="M21" s="15">
        <v>11768</v>
      </c>
      <c r="N21" s="15">
        <v>7663</v>
      </c>
      <c r="O21" s="15">
        <v>11810</v>
      </c>
      <c r="P21" s="15">
        <v>7705</v>
      </c>
      <c r="Q21" s="15">
        <v>11848</v>
      </c>
      <c r="R21" s="15">
        <v>7743</v>
      </c>
      <c r="S21" s="15">
        <v>11885</v>
      </c>
      <c r="T21" s="15">
        <v>7780</v>
      </c>
      <c r="U21" s="15">
        <v>11922</v>
      </c>
      <c r="V21" s="15">
        <v>7817</v>
      </c>
      <c r="W21" s="15">
        <v>11960</v>
      </c>
      <c r="X21" s="15">
        <v>7855</v>
      </c>
      <c r="Y21" s="15">
        <v>11998</v>
      </c>
      <c r="Z21" s="15">
        <v>7893</v>
      </c>
      <c r="AA21" s="15">
        <v>12035</v>
      </c>
      <c r="AB21" s="15">
        <v>7930</v>
      </c>
    </row>
    <row r="22" spans="1:28" x14ac:dyDescent="0.2">
      <c r="A22" s="14" t="s">
        <v>69</v>
      </c>
      <c r="B22" s="15">
        <v>5490</v>
      </c>
      <c r="C22" s="15">
        <v>11560</v>
      </c>
      <c r="D22" s="15">
        <v>6070</v>
      </c>
      <c r="E22" s="15">
        <v>11601</v>
      </c>
      <c r="F22" s="15">
        <v>6111</v>
      </c>
      <c r="G22" s="15">
        <v>11643</v>
      </c>
      <c r="H22" s="15">
        <v>6153</v>
      </c>
      <c r="I22" s="15">
        <v>11685</v>
      </c>
      <c r="J22" s="15">
        <v>6195</v>
      </c>
      <c r="K22" s="15">
        <v>11726</v>
      </c>
      <c r="L22" s="15">
        <v>6236</v>
      </c>
      <c r="M22" s="15">
        <v>11768</v>
      </c>
      <c r="N22" s="15">
        <v>6278</v>
      </c>
      <c r="O22" s="15">
        <v>11810</v>
      </c>
      <c r="P22" s="15">
        <v>6320</v>
      </c>
      <c r="Q22" s="15">
        <v>11848</v>
      </c>
      <c r="R22" s="15">
        <v>6358</v>
      </c>
      <c r="S22" s="15">
        <v>11885</v>
      </c>
      <c r="T22" s="15">
        <v>6395</v>
      </c>
      <c r="U22" s="15">
        <v>11922</v>
      </c>
      <c r="V22" s="15">
        <v>6432</v>
      </c>
      <c r="W22" s="15">
        <v>11960</v>
      </c>
      <c r="X22" s="15">
        <v>6470</v>
      </c>
      <c r="Y22" s="15">
        <v>11998</v>
      </c>
      <c r="Z22" s="15">
        <v>6508</v>
      </c>
      <c r="AA22" s="15">
        <v>12035</v>
      </c>
      <c r="AB22" s="15">
        <v>6545</v>
      </c>
    </row>
    <row r="23" spans="1:28" x14ac:dyDescent="0.2">
      <c r="A23" s="14" t="s">
        <v>70</v>
      </c>
      <c r="B23" s="15">
        <v>6025</v>
      </c>
      <c r="C23" s="15">
        <v>11560</v>
      </c>
      <c r="D23" s="15">
        <v>5535</v>
      </c>
      <c r="E23" s="15">
        <v>11601</v>
      </c>
      <c r="F23" s="15">
        <v>5576</v>
      </c>
      <c r="G23" s="15">
        <v>11643</v>
      </c>
      <c r="H23" s="15">
        <v>5618</v>
      </c>
      <c r="I23" s="15">
        <v>11685</v>
      </c>
      <c r="J23" s="15">
        <v>5660</v>
      </c>
      <c r="K23" s="15">
        <v>11726</v>
      </c>
      <c r="L23" s="15">
        <v>5701</v>
      </c>
      <c r="M23" s="15">
        <v>11768</v>
      </c>
      <c r="N23" s="15">
        <v>5743</v>
      </c>
      <c r="O23" s="15">
        <v>11810</v>
      </c>
      <c r="P23" s="15">
        <v>5785</v>
      </c>
      <c r="Q23" s="15">
        <v>11848</v>
      </c>
      <c r="R23" s="15">
        <v>5823</v>
      </c>
      <c r="S23" s="15">
        <v>11885</v>
      </c>
      <c r="T23" s="15">
        <v>5860</v>
      </c>
      <c r="U23" s="15">
        <v>11922</v>
      </c>
      <c r="V23" s="15">
        <v>5897</v>
      </c>
      <c r="W23" s="15">
        <v>11960</v>
      </c>
      <c r="X23" s="15">
        <v>5935</v>
      </c>
      <c r="Y23" s="15">
        <v>11998</v>
      </c>
      <c r="Z23" s="15">
        <v>5973</v>
      </c>
      <c r="AA23" s="15">
        <v>12035</v>
      </c>
      <c r="AB23" s="15">
        <v>6010</v>
      </c>
    </row>
    <row r="24" spans="1:28" x14ac:dyDescent="0.2">
      <c r="A24" s="14" t="s">
        <v>71</v>
      </c>
      <c r="B24" s="15">
        <v>3370</v>
      </c>
      <c r="C24" s="15">
        <v>11560</v>
      </c>
      <c r="D24" s="15">
        <v>8190</v>
      </c>
      <c r="E24" s="15">
        <v>11601</v>
      </c>
      <c r="F24" s="15">
        <v>8231</v>
      </c>
      <c r="G24" s="15">
        <v>11643</v>
      </c>
      <c r="H24" s="15">
        <v>8273</v>
      </c>
      <c r="I24" s="15">
        <v>11685</v>
      </c>
      <c r="J24" s="15">
        <v>8315</v>
      </c>
      <c r="K24" s="15">
        <v>11726</v>
      </c>
      <c r="L24" s="15">
        <v>8356</v>
      </c>
      <c r="M24" s="15">
        <v>11768</v>
      </c>
      <c r="N24" s="15">
        <v>8398</v>
      </c>
      <c r="O24" s="15">
        <v>11810</v>
      </c>
      <c r="P24" s="15">
        <v>8440</v>
      </c>
      <c r="Q24" s="15">
        <v>11848</v>
      </c>
      <c r="R24" s="15">
        <v>8478</v>
      </c>
      <c r="S24" s="15">
        <v>11885</v>
      </c>
      <c r="T24" s="15">
        <v>8515</v>
      </c>
      <c r="U24" s="15">
        <v>11922</v>
      </c>
      <c r="V24" s="15">
        <v>8552</v>
      </c>
      <c r="W24" s="15">
        <v>11960</v>
      </c>
      <c r="X24" s="15">
        <v>8590</v>
      </c>
      <c r="Y24" s="15">
        <v>11998</v>
      </c>
      <c r="Z24" s="15">
        <v>8628</v>
      </c>
      <c r="AA24" s="15">
        <v>12035</v>
      </c>
      <c r="AB24" s="15">
        <v>8665</v>
      </c>
    </row>
  </sheetData>
  <mergeCells count="14">
    <mergeCell ref="A1:AB1"/>
    <mergeCell ref="C2:D2"/>
    <mergeCell ref="G2:H2"/>
    <mergeCell ref="E2:F2"/>
    <mergeCell ref="AA2:AB2"/>
    <mergeCell ref="Y2:Z2"/>
    <mergeCell ref="K2:L2"/>
    <mergeCell ref="I2:J2"/>
    <mergeCell ref="O2:P2"/>
    <mergeCell ref="M2:N2"/>
    <mergeCell ref="S2:T2"/>
    <mergeCell ref="Q2:R2"/>
    <mergeCell ref="W2:X2"/>
    <mergeCell ref="U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workbookViewId="0"/>
  </sheetViews>
  <sheetFormatPr defaultRowHeight="15" x14ac:dyDescent="0.2"/>
  <cols>
    <col min="1" max="1" width="27.98046875" style="19" customWidth="1"/>
    <col min="2" max="2" width="52.05859375" style="19" customWidth="1"/>
    <col min="3" max="3" width="18.0234375" style="19" customWidth="1"/>
    <col min="4" max="4" width="39.953125" style="19" customWidth="1"/>
    <col min="5" max="5" width="29.99609375" style="19" customWidth="1"/>
    <col min="6" max="6" width="27.98046875" style="19" customWidth="1"/>
    <col min="7" max="14" width="23.9453125" style="19" customWidth="1"/>
    <col min="16" max="16" width="18.96484375" style="19" customWidth="1"/>
  </cols>
  <sheetData>
    <row r="1" spans="1:8" ht="18.75" customHeight="1" x14ac:dyDescent="0.2">
      <c r="A1" s="25" t="s">
        <v>0</v>
      </c>
      <c r="B1" s="24"/>
      <c r="C1" s="24"/>
      <c r="D1" s="24"/>
      <c r="E1" s="24"/>
      <c r="F1" s="24"/>
      <c r="G1" s="24"/>
      <c r="H1" s="24"/>
    </row>
    <row r="3" spans="1:8" ht="33.950000000000003" customHeight="1" x14ac:dyDescent="0.2">
      <c r="A3" s="1" t="s">
        <v>1</v>
      </c>
      <c r="B3" s="1" t="s">
        <v>2</v>
      </c>
      <c r="C3" s="1" t="s">
        <v>3</v>
      </c>
      <c r="D3" s="13" t="s">
        <v>89</v>
      </c>
      <c r="E3" s="8" t="s">
        <v>6</v>
      </c>
      <c r="F3" s="1" t="s">
        <v>11</v>
      </c>
      <c r="G3" s="1" t="s">
        <v>12</v>
      </c>
    </row>
    <row r="4" spans="1:8" x14ac:dyDescent="0.2">
      <c r="A4" s="2" t="s">
        <v>13</v>
      </c>
      <c r="B4" s="2" t="s">
        <v>14</v>
      </c>
      <c r="C4" s="3">
        <v>6323</v>
      </c>
      <c r="D4" s="3">
        <v>600</v>
      </c>
      <c r="E4" s="3">
        <v>6923</v>
      </c>
      <c r="F4" s="4"/>
      <c r="G4" s="3">
        <v>0</v>
      </c>
    </row>
    <row r="5" spans="1:8" x14ac:dyDescent="0.2">
      <c r="A5" s="2" t="s">
        <v>15</v>
      </c>
      <c r="B5" s="2" t="s">
        <v>16</v>
      </c>
      <c r="C5" s="3">
        <v>6364</v>
      </c>
      <c r="D5" s="3">
        <v>600</v>
      </c>
      <c r="E5" s="3">
        <v>6964</v>
      </c>
      <c r="F5" s="3">
        <v>41</v>
      </c>
      <c r="G5" s="3">
        <v>41</v>
      </c>
    </row>
    <row r="6" spans="1:8" x14ac:dyDescent="0.2">
      <c r="A6" s="2" t="s">
        <v>17</v>
      </c>
      <c r="B6" s="2" t="s">
        <v>18</v>
      </c>
      <c r="C6" s="3">
        <v>6406</v>
      </c>
      <c r="D6" s="3">
        <v>600</v>
      </c>
      <c r="E6" s="3">
        <v>7006</v>
      </c>
      <c r="F6" s="3">
        <v>42</v>
      </c>
      <c r="G6" s="3">
        <v>83</v>
      </c>
    </row>
    <row r="7" spans="1:8" x14ac:dyDescent="0.2">
      <c r="A7" s="2" t="s">
        <v>19</v>
      </c>
      <c r="B7" s="2" t="s">
        <v>20</v>
      </c>
      <c r="C7" s="3">
        <v>6448</v>
      </c>
      <c r="D7" s="3">
        <v>600</v>
      </c>
      <c r="E7" s="3">
        <v>7048</v>
      </c>
      <c r="F7" s="3">
        <v>42</v>
      </c>
      <c r="G7" s="3">
        <v>125</v>
      </c>
    </row>
    <row r="8" spans="1:8" x14ac:dyDescent="0.2">
      <c r="A8" s="2" t="s">
        <v>21</v>
      </c>
      <c r="B8" s="2" t="s">
        <v>22</v>
      </c>
      <c r="C8" s="3">
        <v>6489</v>
      </c>
      <c r="D8" s="3">
        <v>600</v>
      </c>
      <c r="E8" s="3">
        <v>7089</v>
      </c>
      <c r="F8" s="3">
        <v>41</v>
      </c>
      <c r="G8" s="3">
        <v>166</v>
      </c>
    </row>
    <row r="9" spans="1:8" x14ac:dyDescent="0.2">
      <c r="A9" s="2" t="s">
        <v>23</v>
      </c>
      <c r="B9" s="2" t="s">
        <v>24</v>
      </c>
      <c r="C9" s="3">
        <v>6531</v>
      </c>
      <c r="D9" s="3">
        <v>600</v>
      </c>
      <c r="E9" s="3">
        <v>7131</v>
      </c>
      <c r="F9" s="3">
        <v>42</v>
      </c>
      <c r="G9" s="3">
        <v>208</v>
      </c>
    </row>
    <row r="10" spans="1:8" x14ac:dyDescent="0.2">
      <c r="A10" s="2" t="s">
        <v>25</v>
      </c>
      <c r="B10" s="2" t="s">
        <v>26</v>
      </c>
      <c r="C10" s="3">
        <v>6573</v>
      </c>
      <c r="D10" s="3">
        <v>600</v>
      </c>
      <c r="E10" s="3">
        <v>7173</v>
      </c>
      <c r="F10" s="3">
        <v>42</v>
      </c>
      <c r="G10" s="3">
        <v>250</v>
      </c>
    </row>
    <row r="11" spans="1:8" x14ac:dyDescent="0.2">
      <c r="A11" s="2" t="s">
        <v>27</v>
      </c>
      <c r="B11" s="2" t="s">
        <v>28</v>
      </c>
      <c r="C11" s="3">
        <v>6611</v>
      </c>
      <c r="D11" s="3">
        <v>600</v>
      </c>
      <c r="E11" s="3">
        <v>7211</v>
      </c>
      <c r="F11" s="3">
        <v>38</v>
      </c>
      <c r="G11" s="3">
        <v>288</v>
      </c>
    </row>
    <row r="12" spans="1:8" x14ac:dyDescent="0.2">
      <c r="A12" s="2" t="s">
        <v>29</v>
      </c>
      <c r="B12" s="2" t="s">
        <v>30</v>
      </c>
      <c r="C12" s="3">
        <v>6648</v>
      </c>
      <c r="D12" s="3">
        <v>600</v>
      </c>
      <c r="E12" s="3">
        <v>7248</v>
      </c>
      <c r="F12" s="3">
        <v>37</v>
      </c>
      <c r="G12" s="3">
        <v>325</v>
      </c>
    </row>
    <row r="13" spans="1:8" x14ac:dyDescent="0.2">
      <c r="A13" s="2" t="s">
        <v>31</v>
      </c>
      <c r="B13" s="2" t="s">
        <v>32</v>
      </c>
      <c r="C13" s="3">
        <v>6685</v>
      </c>
      <c r="D13" s="3">
        <v>600</v>
      </c>
      <c r="E13" s="3">
        <v>7285</v>
      </c>
      <c r="F13" s="3">
        <v>37</v>
      </c>
      <c r="G13" s="3">
        <v>362</v>
      </c>
    </row>
    <row r="14" spans="1:8" x14ac:dyDescent="0.2">
      <c r="A14" s="2" t="s">
        <v>33</v>
      </c>
      <c r="B14" s="2" t="s">
        <v>34</v>
      </c>
      <c r="C14" s="3">
        <v>6723</v>
      </c>
      <c r="D14" s="3">
        <v>600</v>
      </c>
      <c r="E14" s="3">
        <v>7323</v>
      </c>
      <c r="F14" s="3">
        <v>38</v>
      </c>
      <c r="G14" s="3">
        <v>400</v>
      </c>
    </row>
    <row r="15" spans="1:8" x14ac:dyDescent="0.2">
      <c r="A15" s="2" t="s">
        <v>35</v>
      </c>
      <c r="B15" s="2" t="s">
        <v>36</v>
      </c>
      <c r="C15" s="3">
        <v>6761</v>
      </c>
      <c r="D15" s="3">
        <v>600</v>
      </c>
      <c r="E15" s="3">
        <v>7361</v>
      </c>
      <c r="F15" s="3">
        <v>38</v>
      </c>
      <c r="G15" s="3">
        <v>438</v>
      </c>
    </row>
    <row r="16" spans="1:8" x14ac:dyDescent="0.2">
      <c r="A16" s="2" t="s">
        <v>37</v>
      </c>
      <c r="B16" s="2" t="s">
        <v>38</v>
      </c>
      <c r="C16" s="3">
        <v>6798</v>
      </c>
      <c r="D16" s="3">
        <v>600</v>
      </c>
      <c r="E16" s="3">
        <v>7398</v>
      </c>
      <c r="F16" s="3">
        <v>37</v>
      </c>
      <c r="G16" s="3">
        <v>475</v>
      </c>
    </row>
    <row r="19" spans="1:7" x14ac:dyDescent="0.2">
      <c r="A19" s="24"/>
      <c r="B19" s="24"/>
      <c r="C19" s="24"/>
      <c r="D19" s="24"/>
      <c r="E19" s="24"/>
      <c r="F19" s="24"/>
      <c r="G19" s="24"/>
    </row>
    <row r="20" spans="1:7" x14ac:dyDescent="0.2">
      <c r="A20" s="24"/>
      <c r="B20" s="24"/>
      <c r="C20" s="24"/>
      <c r="D20" s="24"/>
      <c r="E20" s="24"/>
      <c r="F20" s="24"/>
      <c r="G20" s="24"/>
    </row>
    <row r="21" spans="1:7" ht="33.950000000000003" customHeight="1" x14ac:dyDescent="0.2">
      <c r="C21" s="5" t="s">
        <v>39</v>
      </c>
      <c r="D21" s="12"/>
      <c r="E21" s="12"/>
      <c r="F21" s="12"/>
      <c r="G21" s="7"/>
    </row>
    <row r="24" spans="1:7" ht="27.75" customHeight="1" x14ac:dyDescent="0.2"/>
    <row r="26" spans="1:7" ht="15.75" customHeight="1" x14ac:dyDescent="0.2"/>
    <row r="33" spans="4:5" x14ac:dyDescent="0.2">
      <c r="D33" s="24"/>
      <c r="E33" s="24"/>
    </row>
  </sheetData>
  <mergeCells count="4">
    <mergeCell ref="A20:G20"/>
    <mergeCell ref="A19:G19"/>
    <mergeCell ref="D33:E3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workbookViewId="0">
      <selection activeCell="A18" sqref="A18:XFD21"/>
    </sheetView>
  </sheetViews>
  <sheetFormatPr defaultRowHeight="15" x14ac:dyDescent="0.2"/>
  <cols>
    <col min="1" max="1" width="27.98046875" style="19" customWidth="1"/>
    <col min="2" max="2" width="18.96484375" style="19" customWidth="1"/>
    <col min="3" max="3" width="18.0234375" style="19" customWidth="1"/>
    <col min="4" max="4" width="19.50390625" style="19" bestFit="1" customWidth="1"/>
    <col min="5" max="5" width="20.58203125" style="19" bestFit="1" customWidth="1"/>
    <col min="6" max="6" width="21.92578125" style="19" bestFit="1" customWidth="1"/>
    <col min="7" max="7" width="9.01171875" style="19" bestFit="1" customWidth="1"/>
    <col min="8" max="8" width="13.5859375" style="19" bestFit="1" customWidth="1"/>
    <col min="9" max="9" width="10.35546875" style="19" bestFit="1" customWidth="1"/>
    <col min="10" max="10" width="23.9453125" style="19" customWidth="1"/>
    <col min="11" max="11" width="19.63671875" style="19" bestFit="1" customWidth="1"/>
    <col min="12" max="12" width="17.21875" style="19" bestFit="1" customWidth="1"/>
    <col min="13" max="14" width="23.9453125" style="19" customWidth="1"/>
    <col min="16" max="16" width="18.96484375" style="19" customWidth="1"/>
  </cols>
  <sheetData>
    <row r="1" spans="1:12" ht="18.75" customHeight="1" x14ac:dyDescent="0.2">
      <c r="A1" s="25" t="s">
        <v>0</v>
      </c>
      <c r="B1" s="24"/>
      <c r="C1" s="24"/>
      <c r="D1" s="24"/>
      <c r="E1" s="24"/>
      <c r="F1" s="24"/>
      <c r="G1" s="24"/>
      <c r="H1" s="24"/>
    </row>
    <row r="3" spans="1:12" ht="33.950000000000003" customHeight="1" x14ac:dyDescent="0.2">
      <c r="A3" s="1" t="s">
        <v>1</v>
      </c>
      <c r="B3" s="1" t="s">
        <v>2</v>
      </c>
      <c r="C3" s="1" t="s">
        <v>3</v>
      </c>
      <c r="D3" s="13" t="s">
        <v>90</v>
      </c>
      <c r="E3" s="16" t="s">
        <v>5</v>
      </c>
      <c r="F3" s="8" t="s">
        <v>6</v>
      </c>
      <c r="G3" s="13" t="s">
        <v>7</v>
      </c>
      <c r="H3" s="13" t="s">
        <v>8</v>
      </c>
      <c r="I3" s="13" t="s">
        <v>9</v>
      </c>
      <c r="J3" s="17" t="s">
        <v>10</v>
      </c>
      <c r="K3" s="1" t="s">
        <v>11</v>
      </c>
      <c r="L3" s="1" t="s">
        <v>12</v>
      </c>
    </row>
    <row r="4" spans="1:12" x14ac:dyDescent="0.2">
      <c r="A4" s="2" t="s">
        <v>13</v>
      </c>
      <c r="B4" s="2" t="s">
        <v>14</v>
      </c>
      <c r="C4" s="3">
        <v>6323</v>
      </c>
      <c r="D4" s="3">
        <v>600</v>
      </c>
      <c r="E4" s="11">
        <v>4780</v>
      </c>
      <c r="F4" s="3">
        <v>11703</v>
      </c>
      <c r="G4" s="11">
        <v>-400</v>
      </c>
      <c r="H4" s="11">
        <v>-64</v>
      </c>
      <c r="I4" s="11">
        <v>-679</v>
      </c>
      <c r="J4" s="11">
        <v>10560</v>
      </c>
      <c r="K4" s="4"/>
      <c r="L4" s="3">
        <v>0</v>
      </c>
    </row>
    <row r="5" spans="1:12" x14ac:dyDescent="0.2">
      <c r="A5" s="2" t="s">
        <v>15</v>
      </c>
      <c r="B5" s="2" t="s">
        <v>16</v>
      </c>
      <c r="C5" s="3">
        <v>6364</v>
      </c>
      <c r="D5" s="3">
        <v>600</v>
      </c>
      <c r="E5" s="11">
        <v>4780</v>
      </c>
      <c r="F5" s="3">
        <v>11744</v>
      </c>
      <c r="G5" s="11">
        <v>-400</v>
      </c>
      <c r="H5" s="11">
        <v>-64</v>
      </c>
      <c r="I5" s="11">
        <v>-679</v>
      </c>
      <c r="J5" s="11">
        <v>10601</v>
      </c>
      <c r="K5" s="3">
        <v>41</v>
      </c>
      <c r="L5" s="3">
        <v>41</v>
      </c>
    </row>
    <row r="6" spans="1:12" x14ac:dyDescent="0.2">
      <c r="A6" s="2" t="s">
        <v>17</v>
      </c>
      <c r="B6" s="2" t="s">
        <v>18</v>
      </c>
      <c r="C6" s="3">
        <v>6406</v>
      </c>
      <c r="D6" s="3">
        <v>600</v>
      </c>
      <c r="E6" s="11">
        <v>4780</v>
      </c>
      <c r="F6" s="3">
        <v>11786</v>
      </c>
      <c r="G6" s="11">
        <v>-400</v>
      </c>
      <c r="H6" s="11">
        <v>-64</v>
      </c>
      <c r="I6" s="11">
        <v>-679</v>
      </c>
      <c r="J6" s="11">
        <v>10643</v>
      </c>
      <c r="K6" s="3">
        <v>42</v>
      </c>
      <c r="L6" s="3">
        <v>83</v>
      </c>
    </row>
    <row r="7" spans="1:12" x14ac:dyDescent="0.2">
      <c r="A7" s="2" t="s">
        <v>19</v>
      </c>
      <c r="B7" s="2" t="s">
        <v>20</v>
      </c>
      <c r="C7" s="3">
        <v>6448</v>
      </c>
      <c r="D7" s="3">
        <v>600</v>
      </c>
      <c r="E7" s="11">
        <v>4780</v>
      </c>
      <c r="F7" s="3">
        <v>11828</v>
      </c>
      <c r="G7" s="11">
        <v>-400</v>
      </c>
      <c r="H7" s="11">
        <v>-64</v>
      </c>
      <c r="I7" s="11">
        <v>-679</v>
      </c>
      <c r="J7" s="11">
        <v>10685</v>
      </c>
      <c r="K7" s="3">
        <v>42</v>
      </c>
      <c r="L7" s="3">
        <v>125</v>
      </c>
    </row>
    <row r="8" spans="1:12" x14ac:dyDescent="0.2">
      <c r="A8" s="2" t="s">
        <v>21</v>
      </c>
      <c r="B8" s="2" t="s">
        <v>22</v>
      </c>
      <c r="C8" s="3">
        <v>6489</v>
      </c>
      <c r="D8" s="3">
        <v>600</v>
      </c>
      <c r="E8" s="11">
        <v>4780</v>
      </c>
      <c r="F8" s="3">
        <v>11869</v>
      </c>
      <c r="G8" s="11">
        <v>-400</v>
      </c>
      <c r="H8" s="11">
        <v>-64</v>
      </c>
      <c r="I8" s="11">
        <v>-679</v>
      </c>
      <c r="J8" s="11">
        <v>10726</v>
      </c>
      <c r="K8" s="3">
        <v>41</v>
      </c>
      <c r="L8" s="3">
        <v>166</v>
      </c>
    </row>
    <row r="9" spans="1:12" x14ac:dyDescent="0.2">
      <c r="A9" s="2" t="s">
        <v>23</v>
      </c>
      <c r="B9" s="2" t="s">
        <v>24</v>
      </c>
      <c r="C9" s="3">
        <v>6531</v>
      </c>
      <c r="D9" s="3">
        <v>600</v>
      </c>
      <c r="E9" s="11">
        <v>4780</v>
      </c>
      <c r="F9" s="3">
        <v>11911</v>
      </c>
      <c r="G9" s="11">
        <v>-400</v>
      </c>
      <c r="H9" s="11">
        <v>-64</v>
      </c>
      <c r="I9" s="11">
        <v>-679</v>
      </c>
      <c r="J9" s="11">
        <v>10768</v>
      </c>
      <c r="K9" s="3">
        <v>42</v>
      </c>
      <c r="L9" s="3">
        <v>208</v>
      </c>
    </row>
    <row r="10" spans="1:12" x14ac:dyDescent="0.2">
      <c r="A10" s="2" t="s">
        <v>25</v>
      </c>
      <c r="B10" s="2" t="s">
        <v>26</v>
      </c>
      <c r="C10" s="3">
        <v>6573</v>
      </c>
      <c r="D10" s="3">
        <v>600</v>
      </c>
      <c r="E10" s="11">
        <v>4780</v>
      </c>
      <c r="F10" s="3">
        <v>11953</v>
      </c>
      <c r="G10" s="11">
        <v>-400</v>
      </c>
      <c r="H10" s="11">
        <v>-64</v>
      </c>
      <c r="I10" s="11">
        <v>-679</v>
      </c>
      <c r="J10" s="11">
        <v>10810</v>
      </c>
      <c r="K10" s="3">
        <v>42</v>
      </c>
      <c r="L10" s="3">
        <v>250</v>
      </c>
    </row>
    <row r="11" spans="1:12" x14ac:dyDescent="0.2">
      <c r="A11" s="2" t="s">
        <v>27</v>
      </c>
      <c r="B11" s="2" t="s">
        <v>28</v>
      </c>
      <c r="C11" s="3">
        <v>6611</v>
      </c>
      <c r="D11" s="3">
        <v>600</v>
      </c>
      <c r="E11" s="11">
        <v>4780</v>
      </c>
      <c r="F11" s="3">
        <v>11991</v>
      </c>
      <c r="G11" s="11">
        <v>-400</v>
      </c>
      <c r="H11" s="11">
        <v>-64</v>
      </c>
      <c r="I11" s="11">
        <v>-679</v>
      </c>
      <c r="J11" s="11">
        <v>10848</v>
      </c>
      <c r="K11" s="3">
        <v>38</v>
      </c>
      <c r="L11" s="3">
        <v>288</v>
      </c>
    </row>
    <row r="12" spans="1:12" x14ac:dyDescent="0.2">
      <c r="A12" s="2" t="s">
        <v>29</v>
      </c>
      <c r="B12" s="2" t="s">
        <v>30</v>
      </c>
      <c r="C12" s="3">
        <v>6648</v>
      </c>
      <c r="D12" s="3">
        <v>600</v>
      </c>
      <c r="E12" s="11">
        <v>4780</v>
      </c>
      <c r="F12" s="3">
        <v>12028</v>
      </c>
      <c r="G12" s="11">
        <v>-400</v>
      </c>
      <c r="H12" s="11">
        <v>-64</v>
      </c>
      <c r="I12" s="11">
        <v>-679</v>
      </c>
      <c r="J12" s="11">
        <v>10885</v>
      </c>
      <c r="K12" s="3">
        <v>37</v>
      </c>
      <c r="L12" s="3">
        <v>325</v>
      </c>
    </row>
    <row r="13" spans="1:12" x14ac:dyDescent="0.2">
      <c r="A13" s="2" t="s">
        <v>31</v>
      </c>
      <c r="B13" s="2" t="s">
        <v>32</v>
      </c>
      <c r="C13" s="3">
        <v>6685</v>
      </c>
      <c r="D13" s="3">
        <v>600</v>
      </c>
      <c r="E13" s="11">
        <v>4780</v>
      </c>
      <c r="F13" s="3">
        <v>12065</v>
      </c>
      <c r="G13" s="11">
        <v>-400</v>
      </c>
      <c r="H13" s="11">
        <v>-64</v>
      </c>
      <c r="I13" s="11">
        <v>-679</v>
      </c>
      <c r="J13" s="11">
        <v>10922</v>
      </c>
      <c r="K13" s="3">
        <v>37</v>
      </c>
      <c r="L13" s="3">
        <v>362</v>
      </c>
    </row>
    <row r="14" spans="1:12" x14ac:dyDescent="0.2">
      <c r="A14" s="2" t="s">
        <v>33</v>
      </c>
      <c r="B14" s="2" t="s">
        <v>34</v>
      </c>
      <c r="C14" s="3">
        <v>6723</v>
      </c>
      <c r="D14" s="3">
        <v>600</v>
      </c>
      <c r="E14" s="11">
        <v>4780</v>
      </c>
      <c r="F14" s="3">
        <v>12103</v>
      </c>
      <c r="G14" s="11">
        <v>-400</v>
      </c>
      <c r="H14" s="11">
        <v>-64</v>
      </c>
      <c r="I14" s="11">
        <v>-679</v>
      </c>
      <c r="J14" s="11">
        <v>10960</v>
      </c>
      <c r="K14" s="3">
        <v>38</v>
      </c>
      <c r="L14" s="3">
        <v>400</v>
      </c>
    </row>
    <row r="15" spans="1:12" x14ac:dyDescent="0.2">
      <c r="A15" s="2" t="s">
        <v>35</v>
      </c>
      <c r="B15" s="2" t="s">
        <v>36</v>
      </c>
      <c r="C15" s="3">
        <v>6761</v>
      </c>
      <c r="D15" s="3">
        <v>600</v>
      </c>
      <c r="E15" s="11">
        <v>4780</v>
      </c>
      <c r="F15" s="3">
        <v>12141</v>
      </c>
      <c r="G15" s="11">
        <v>-400</v>
      </c>
      <c r="H15" s="11">
        <v>-64</v>
      </c>
      <c r="I15" s="11">
        <v>-679</v>
      </c>
      <c r="J15" s="11">
        <v>10998</v>
      </c>
      <c r="K15" s="3">
        <v>38</v>
      </c>
      <c r="L15" s="3">
        <v>438</v>
      </c>
    </row>
    <row r="16" spans="1:12" x14ac:dyDescent="0.2">
      <c r="A16" s="2" t="s">
        <v>37</v>
      </c>
      <c r="B16" s="2" t="s">
        <v>38</v>
      </c>
      <c r="C16" s="3">
        <v>6798</v>
      </c>
      <c r="D16" s="3">
        <v>600</v>
      </c>
      <c r="E16" s="11">
        <v>4780</v>
      </c>
      <c r="F16" s="3">
        <v>12178</v>
      </c>
      <c r="G16" s="11">
        <v>-400</v>
      </c>
      <c r="H16" s="11">
        <v>-64</v>
      </c>
      <c r="I16" s="11">
        <v>-679</v>
      </c>
      <c r="J16" s="11">
        <v>11035</v>
      </c>
      <c r="K16" s="3">
        <v>37</v>
      </c>
      <c r="L16" s="3">
        <v>475</v>
      </c>
    </row>
    <row r="19" spans="1:12" x14ac:dyDescent="0.2">
      <c r="A19" s="24"/>
      <c r="B19" s="24"/>
      <c r="C19" s="24"/>
      <c r="D19" s="24"/>
      <c r="E19" s="24"/>
      <c r="F19" s="24"/>
      <c r="G19" s="24"/>
    </row>
    <row r="20" spans="1:12" x14ac:dyDescent="0.2">
      <c r="A20" s="24"/>
      <c r="B20" s="24"/>
      <c r="C20" s="24"/>
      <c r="D20" s="24"/>
      <c r="E20" s="24"/>
      <c r="F20" s="24"/>
      <c r="G20" s="24"/>
      <c r="K20" s="6"/>
    </row>
    <row r="21" spans="1:12" ht="33.950000000000003" customHeight="1" x14ac:dyDescent="0.2">
      <c r="C21" s="5"/>
      <c r="D21" s="12"/>
      <c r="E21" s="12"/>
      <c r="F21" s="12"/>
      <c r="K21" s="12"/>
      <c r="L21" s="7"/>
    </row>
    <row r="24" spans="1:12" ht="27.75" customHeight="1" x14ac:dyDescent="0.2"/>
    <row r="26" spans="1:12" ht="15.75" customHeight="1" x14ac:dyDescent="0.2"/>
    <row r="33" spans="4:5" x14ac:dyDescent="0.2">
      <c r="D33" s="24"/>
      <c r="E33" s="24"/>
    </row>
  </sheetData>
  <mergeCells count="4">
    <mergeCell ref="A20:G20"/>
    <mergeCell ref="A19:G19"/>
    <mergeCell ref="D33:E3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4"/>
  <sheetViews>
    <sheetView workbookViewId="0">
      <pane xSplit="2" ySplit="3" topLeftCell="C4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7.98046875" style="19" customWidth="1"/>
    <col min="2" max="2" width="18.0234375" style="19" customWidth="1"/>
    <col min="3" max="28" width="13.98828125" style="19" customWidth="1"/>
  </cols>
  <sheetData>
    <row r="1" spans="1:28" ht="18.75" customHeight="1" x14ac:dyDescent="0.25">
      <c r="A1" s="23" t="s">
        <v>91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21.95" customHeight="1" x14ac:dyDescent="0.2">
      <c r="C2" s="27" t="s">
        <v>13</v>
      </c>
      <c r="D2" s="28"/>
      <c r="E2" s="27" t="s">
        <v>15</v>
      </c>
      <c r="F2" s="28"/>
      <c r="G2" s="27" t="s">
        <v>17</v>
      </c>
      <c r="H2" s="28"/>
      <c r="I2" s="27" t="s">
        <v>19</v>
      </c>
      <c r="J2" s="28"/>
      <c r="K2" s="27" t="s">
        <v>21</v>
      </c>
      <c r="L2" s="28"/>
      <c r="M2" s="27" t="s">
        <v>23</v>
      </c>
      <c r="N2" s="28"/>
      <c r="O2" s="27" t="s">
        <v>25</v>
      </c>
      <c r="P2" s="28"/>
      <c r="Q2" s="27" t="s">
        <v>27</v>
      </c>
      <c r="R2" s="28"/>
      <c r="S2" s="27" t="s">
        <v>29</v>
      </c>
      <c r="T2" s="28"/>
      <c r="U2" s="27" t="s">
        <v>31</v>
      </c>
      <c r="V2" s="28"/>
      <c r="W2" s="27" t="s">
        <v>33</v>
      </c>
      <c r="X2" s="28"/>
      <c r="Y2" s="27" t="s">
        <v>35</v>
      </c>
      <c r="Z2" s="28"/>
      <c r="AA2" s="27" t="s">
        <v>37</v>
      </c>
      <c r="AB2" s="28"/>
    </row>
    <row r="3" spans="1:28" ht="20.100000000000001" customHeight="1" x14ac:dyDescent="0.2">
      <c r="A3" s="20" t="s">
        <v>41</v>
      </c>
      <c r="B3" s="20" t="s">
        <v>73</v>
      </c>
      <c r="C3" s="20" t="s">
        <v>74</v>
      </c>
      <c r="D3" s="20" t="s">
        <v>75</v>
      </c>
      <c r="E3" s="20" t="s">
        <v>74</v>
      </c>
      <c r="F3" s="20" t="s">
        <v>75</v>
      </c>
      <c r="G3" s="20" t="s">
        <v>74</v>
      </c>
      <c r="H3" s="20" t="s">
        <v>75</v>
      </c>
      <c r="I3" s="20" t="s">
        <v>74</v>
      </c>
      <c r="J3" s="20" t="s">
        <v>75</v>
      </c>
      <c r="K3" s="20" t="s">
        <v>74</v>
      </c>
      <c r="L3" s="20" t="s">
        <v>75</v>
      </c>
      <c r="M3" s="20" t="s">
        <v>74</v>
      </c>
      <c r="N3" s="20" t="s">
        <v>75</v>
      </c>
      <c r="O3" s="20" t="s">
        <v>74</v>
      </c>
      <c r="P3" s="20" t="s">
        <v>75</v>
      </c>
      <c r="Q3" s="20" t="s">
        <v>74</v>
      </c>
      <c r="R3" s="20" t="s">
        <v>75</v>
      </c>
      <c r="S3" s="20" t="s">
        <v>74</v>
      </c>
      <c r="T3" s="20" t="s">
        <v>75</v>
      </c>
      <c r="U3" s="20" t="s">
        <v>74</v>
      </c>
      <c r="V3" s="20" t="s">
        <v>75</v>
      </c>
      <c r="W3" s="20" t="s">
        <v>74</v>
      </c>
      <c r="X3" s="20" t="s">
        <v>75</v>
      </c>
      <c r="Y3" s="20" t="s">
        <v>74</v>
      </c>
      <c r="Z3" s="20" t="s">
        <v>75</v>
      </c>
      <c r="AA3" s="20" t="s">
        <v>74</v>
      </c>
      <c r="AB3" s="20" t="s">
        <v>75</v>
      </c>
    </row>
    <row r="4" spans="1:28" x14ac:dyDescent="0.2">
      <c r="A4" s="14" t="s">
        <v>51</v>
      </c>
      <c r="B4" s="15">
        <v>2980</v>
      </c>
      <c r="C4" s="15">
        <v>10560</v>
      </c>
      <c r="D4" s="15">
        <v>7580</v>
      </c>
      <c r="E4" s="15">
        <v>10601</v>
      </c>
      <c r="F4" s="15">
        <v>7621</v>
      </c>
      <c r="G4" s="15">
        <v>10643</v>
      </c>
      <c r="H4" s="15">
        <v>7663</v>
      </c>
      <c r="I4" s="15">
        <v>10685</v>
      </c>
      <c r="J4" s="15">
        <v>7705</v>
      </c>
      <c r="K4" s="15">
        <v>10726</v>
      </c>
      <c r="L4" s="15">
        <v>7746</v>
      </c>
      <c r="M4" s="15">
        <v>10768</v>
      </c>
      <c r="N4" s="15">
        <v>7788</v>
      </c>
      <c r="O4" s="15">
        <v>10810</v>
      </c>
      <c r="P4" s="15">
        <v>7830</v>
      </c>
      <c r="Q4" s="15">
        <v>10848</v>
      </c>
      <c r="R4" s="15">
        <v>7868</v>
      </c>
      <c r="S4" s="15">
        <v>10885</v>
      </c>
      <c r="T4" s="15">
        <v>7905</v>
      </c>
      <c r="U4" s="15">
        <v>10922</v>
      </c>
      <c r="V4" s="15">
        <v>7942</v>
      </c>
      <c r="W4" s="15">
        <v>10960</v>
      </c>
      <c r="X4" s="15">
        <v>7980</v>
      </c>
      <c r="Y4" s="15">
        <v>10998</v>
      </c>
      <c r="Z4" s="15">
        <v>8018</v>
      </c>
      <c r="AA4" s="15">
        <v>11035</v>
      </c>
      <c r="AB4" s="15">
        <v>8055</v>
      </c>
    </row>
    <row r="5" spans="1:28" x14ac:dyDescent="0.2">
      <c r="A5" s="14" t="s">
        <v>52</v>
      </c>
      <c r="B5" s="15">
        <v>3420</v>
      </c>
      <c r="C5" s="15">
        <v>10560</v>
      </c>
      <c r="D5" s="15">
        <v>7140</v>
      </c>
      <c r="E5" s="15">
        <v>10601</v>
      </c>
      <c r="F5" s="15">
        <v>7181</v>
      </c>
      <c r="G5" s="15">
        <v>10643</v>
      </c>
      <c r="H5" s="15">
        <v>7223</v>
      </c>
      <c r="I5" s="15">
        <v>10685</v>
      </c>
      <c r="J5" s="15">
        <v>7265</v>
      </c>
      <c r="K5" s="15">
        <v>10726</v>
      </c>
      <c r="L5" s="15">
        <v>7306</v>
      </c>
      <c r="M5" s="15">
        <v>10768</v>
      </c>
      <c r="N5" s="15">
        <v>7348</v>
      </c>
      <c r="O5" s="15">
        <v>10810</v>
      </c>
      <c r="P5" s="15">
        <v>7390</v>
      </c>
      <c r="Q5" s="15">
        <v>10848</v>
      </c>
      <c r="R5" s="15">
        <v>7428</v>
      </c>
      <c r="S5" s="15">
        <v>10885</v>
      </c>
      <c r="T5" s="15">
        <v>7465</v>
      </c>
      <c r="U5" s="15">
        <v>10922</v>
      </c>
      <c r="V5" s="15">
        <v>7502</v>
      </c>
      <c r="W5" s="15">
        <v>10960</v>
      </c>
      <c r="X5" s="15">
        <v>7540</v>
      </c>
      <c r="Y5" s="15">
        <v>10998</v>
      </c>
      <c r="Z5" s="15">
        <v>7578</v>
      </c>
      <c r="AA5" s="15">
        <v>11035</v>
      </c>
      <c r="AB5" s="15">
        <v>7615</v>
      </c>
    </row>
    <row r="6" spans="1:28" x14ac:dyDescent="0.2">
      <c r="A6" s="14" t="s">
        <v>53</v>
      </c>
      <c r="B6" s="15">
        <v>4035</v>
      </c>
      <c r="C6" s="15">
        <v>10560</v>
      </c>
      <c r="D6" s="15">
        <v>6525</v>
      </c>
      <c r="E6" s="15">
        <v>10601</v>
      </c>
      <c r="F6" s="15">
        <v>6566</v>
      </c>
      <c r="G6" s="15">
        <v>10643</v>
      </c>
      <c r="H6" s="15">
        <v>6608</v>
      </c>
      <c r="I6" s="15">
        <v>10685</v>
      </c>
      <c r="J6" s="15">
        <v>6650</v>
      </c>
      <c r="K6" s="15">
        <v>10726</v>
      </c>
      <c r="L6" s="15">
        <v>6691</v>
      </c>
      <c r="M6" s="15">
        <v>10768</v>
      </c>
      <c r="N6" s="15">
        <v>6733</v>
      </c>
      <c r="O6" s="15">
        <v>10810</v>
      </c>
      <c r="P6" s="15">
        <v>6775</v>
      </c>
      <c r="Q6" s="15">
        <v>10848</v>
      </c>
      <c r="R6" s="15">
        <v>6813</v>
      </c>
      <c r="S6" s="15">
        <v>10885</v>
      </c>
      <c r="T6" s="15">
        <v>6850</v>
      </c>
      <c r="U6" s="15">
        <v>10922</v>
      </c>
      <c r="V6" s="15">
        <v>6887</v>
      </c>
      <c r="W6" s="15">
        <v>10960</v>
      </c>
      <c r="X6" s="15">
        <v>6925</v>
      </c>
      <c r="Y6" s="15">
        <v>10998</v>
      </c>
      <c r="Z6" s="15">
        <v>6963</v>
      </c>
      <c r="AA6" s="15">
        <v>11035</v>
      </c>
      <c r="AB6" s="15">
        <v>7000</v>
      </c>
    </row>
    <row r="7" spans="1:28" x14ac:dyDescent="0.2">
      <c r="A7" s="14" t="s">
        <v>54</v>
      </c>
      <c r="B7" s="15">
        <v>2450</v>
      </c>
      <c r="C7" s="15">
        <v>10560</v>
      </c>
      <c r="D7" s="15">
        <v>8110</v>
      </c>
      <c r="E7" s="15">
        <v>10601</v>
      </c>
      <c r="F7" s="15">
        <v>8151</v>
      </c>
      <c r="G7" s="15">
        <v>10643</v>
      </c>
      <c r="H7" s="15">
        <v>8193</v>
      </c>
      <c r="I7" s="15">
        <v>10685</v>
      </c>
      <c r="J7" s="15">
        <v>8235</v>
      </c>
      <c r="K7" s="15">
        <v>10726</v>
      </c>
      <c r="L7" s="15">
        <v>8276</v>
      </c>
      <c r="M7" s="15">
        <v>10768</v>
      </c>
      <c r="N7" s="15">
        <v>8318</v>
      </c>
      <c r="O7" s="15">
        <v>10810</v>
      </c>
      <c r="P7" s="15">
        <v>8360</v>
      </c>
      <c r="Q7" s="15">
        <v>10848</v>
      </c>
      <c r="R7" s="15">
        <v>8398</v>
      </c>
      <c r="S7" s="15">
        <v>10885</v>
      </c>
      <c r="T7" s="15">
        <v>8435</v>
      </c>
      <c r="U7" s="15">
        <v>10922</v>
      </c>
      <c r="V7" s="15">
        <v>8472</v>
      </c>
      <c r="W7" s="15">
        <v>10960</v>
      </c>
      <c r="X7" s="15">
        <v>8510</v>
      </c>
      <c r="Y7" s="15">
        <v>10998</v>
      </c>
      <c r="Z7" s="15">
        <v>8548</v>
      </c>
      <c r="AA7" s="15">
        <v>11035</v>
      </c>
      <c r="AB7" s="15">
        <v>8585</v>
      </c>
    </row>
    <row r="8" spans="1:28" x14ac:dyDescent="0.2">
      <c r="A8" s="14" t="s">
        <v>55</v>
      </c>
      <c r="B8" s="15">
        <v>3355</v>
      </c>
      <c r="C8" s="15">
        <v>10560</v>
      </c>
      <c r="D8" s="15">
        <v>7205</v>
      </c>
      <c r="E8" s="15">
        <v>10601</v>
      </c>
      <c r="F8" s="15">
        <v>7246</v>
      </c>
      <c r="G8" s="15">
        <v>10643</v>
      </c>
      <c r="H8" s="15">
        <v>7288</v>
      </c>
      <c r="I8" s="15">
        <v>10685</v>
      </c>
      <c r="J8" s="15">
        <v>7330</v>
      </c>
      <c r="K8" s="15">
        <v>10726</v>
      </c>
      <c r="L8" s="15">
        <v>7371</v>
      </c>
      <c r="M8" s="15">
        <v>10768</v>
      </c>
      <c r="N8" s="15">
        <v>7413</v>
      </c>
      <c r="O8" s="15">
        <v>10810</v>
      </c>
      <c r="P8" s="15">
        <v>7455</v>
      </c>
      <c r="Q8" s="15">
        <v>10848</v>
      </c>
      <c r="R8" s="15">
        <v>7493</v>
      </c>
      <c r="S8" s="15">
        <v>10885</v>
      </c>
      <c r="T8" s="15">
        <v>7530</v>
      </c>
      <c r="U8" s="15">
        <v>10922</v>
      </c>
      <c r="V8" s="15">
        <v>7567</v>
      </c>
      <c r="W8" s="15">
        <v>10960</v>
      </c>
      <c r="X8" s="15">
        <v>7605</v>
      </c>
      <c r="Y8" s="15">
        <v>10998</v>
      </c>
      <c r="Z8" s="15">
        <v>7643</v>
      </c>
      <c r="AA8" s="15">
        <v>11035</v>
      </c>
      <c r="AB8" s="15">
        <v>7680</v>
      </c>
    </row>
    <row r="9" spans="1:28" x14ac:dyDescent="0.2">
      <c r="A9" s="14" t="s">
        <v>56</v>
      </c>
      <c r="B9" s="15">
        <v>2185</v>
      </c>
      <c r="C9" s="15">
        <v>10560</v>
      </c>
      <c r="D9" s="15">
        <v>8375</v>
      </c>
      <c r="E9" s="15">
        <v>10601</v>
      </c>
      <c r="F9" s="15">
        <v>8416</v>
      </c>
      <c r="G9" s="15">
        <v>10643</v>
      </c>
      <c r="H9" s="15">
        <v>8458</v>
      </c>
      <c r="I9" s="15">
        <v>10685</v>
      </c>
      <c r="J9" s="15">
        <v>8500</v>
      </c>
      <c r="K9" s="15">
        <v>10726</v>
      </c>
      <c r="L9" s="15">
        <v>8541</v>
      </c>
      <c r="M9" s="15">
        <v>10768</v>
      </c>
      <c r="N9" s="15">
        <v>8583</v>
      </c>
      <c r="O9" s="15">
        <v>10810</v>
      </c>
      <c r="P9" s="15">
        <v>8625</v>
      </c>
      <c r="Q9" s="15">
        <v>10848</v>
      </c>
      <c r="R9" s="15">
        <v>8663</v>
      </c>
      <c r="S9" s="15">
        <v>10885</v>
      </c>
      <c r="T9" s="15">
        <v>8700</v>
      </c>
      <c r="U9" s="15">
        <v>10922</v>
      </c>
      <c r="V9" s="15">
        <v>8737</v>
      </c>
      <c r="W9" s="15">
        <v>10960</v>
      </c>
      <c r="X9" s="15">
        <v>8775</v>
      </c>
      <c r="Y9" s="15">
        <v>10998</v>
      </c>
      <c r="Z9" s="15">
        <v>8813</v>
      </c>
      <c r="AA9" s="15">
        <v>11035</v>
      </c>
      <c r="AB9" s="15">
        <v>8850</v>
      </c>
    </row>
    <row r="10" spans="1:28" x14ac:dyDescent="0.2">
      <c r="A10" s="14" t="s">
        <v>57</v>
      </c>
      <c r="B10" s="15">
        <v>2965</v>
      </c>
      <c r="C10" s="15">
        <v>10560</v>
      </c>
      <c r="D10" s="15">
        <v>7595</v>
      </c>
      <c r="E10" s="15">
        <v>10601</v>
      </c>
      <c r="F10" s="15">
        <v>7636</v>
      </c>
      <c r="G10" s="15">
        <v>10643</v>
      </c>
      <c r="H10" s="15">
        <v>7678</v>
      </c>
      <c r="I10" s="15">
        <v>10685</v>
      </c>
      <c r="J10" s="15">
        <v>7720</v>
      </c>
      <c r="K10" s="15">
        <v>10726</v>
      </c>
      <c r="L10" s="15">
        <v>7761</v>
      </c>
      <c r="M10" s="15">
        <v>10768</v>
      </c>
      <c r="N10" s="15">
        <v>7803</v>
      </c>
      <c r="O10" s="15">
        <v>10810</v>
      </c>
      <c r="P10" s="15">
        <v>7845</v>
      </c>
      <c r="Q10" s="15">
        <v>10848</v>
      </c>
      <c r="R10" s="15">
        <v>7883</v>
      </c>
      <c r="S10" s="15">
        <v>10885</v>
      </c>
      <c r="T10" s="15">
        <v>7920</v>
      </c>
      <c r="U10" s="15">
        <v>10922</v>
      </c>
      <c r="V10" s="15">
        <v>7957</v>
      </c>
      <c r="W10" s="15">
        <v>10960</v>
      </c>
      <c r="X10" s="15">
        <v>7995</v>
      </c>
      <c r="Y10" s="15">
        <v>10998</v>
      </c>
      <c r="Z10" s="15">
        <v>8033</v>
      </c>
      <c r="AA10" s="15">
        <v>11035</v>
      </c>
      <c r="AB10" s="15">
        <v>8070</v>
      </c>
    </row>
    <row r="11" spans="1:28" x14ac:dyDescent="0.2">
      <c r="A11" s="14" t="s">
        <v>58</v>
      </c>
      <c r="B11" s="15">
        <v>3575</v>
      </c>
      <c r="C11" s="15">
        <v>10560</v>
      </c>
      <c r="D11" s="15">
        <v>6985</v>
      </c>
      <c r="E11" s="15">
        <v>10601</v>
      </c>
      <c r="F11" s="15">
        <v>7026</v>
      </c>
      <c r="G11" s="15">
        <v>10643</v>
      </c>
      <c r="H11" s="15">
        <v>7068</v>
      </c>
      <c r="I11" s="15">
        <v>10685</v>
      </c>
      <c r="J11" s="15">
        <v>7110</v>
      </c>
      <c r="K11" s="15">
        <v>10726</v>
      </c>
      <c r="L11" s="15">
        <v>7151</v>
      </c>
      <c r="M11" s="15">
        <v>10768</v>
      </c>
      <c r="N11" s="15">
        <v>7193</v>
      </c>
      <c r="O11" s="15">
        <v>10810</v>
      </c>
      <c r="P11" s="15">
        <v>7235</v>
      </c>
      <c r="Q11" s="15">
        <v>10848</v>
      </c>
      <c r="R11" s="15">
        <v>7273</v>
      </c>
      <c r="S11" s="15">
        <v>10885</v>
      </c>
      <c r="T11" s="15">
        <v>7310</v>
      </c>
      <c r="U11" s="15">
        <v>10922</v>
      </c>
      <c r="V11" s="15">
        <v>7347</v>
      </c>
      <c r="W11" s="15">
        <v>10960</v>
      </c>
      <c r="X11" s="15">
        <v>7385</v>
      </c>
      <c r="Y11" s="15">
        <v>10998</v>
      </c>
      <c r="Z11" s="15">
        <v>7423</v>
      </c>
      <c r="AA11" s="15">
        <v>11035</v>
      </c>
      <c r="AB11" s="15">
        <v>7460</v>
      </c>
    </row>
    <row r="12" spans="1:28" x14ac:dyDescent="0.2">
      <c r="A12" s="14" t="s">
        <v>59</v>
      </c>
      <c r="B12" s="15">
        <v>4230</v>
      </c>
      <c r="C12" s="15">
        <v>10560</v>
      </c>
      <c r="D12" s="15">
        <v>6330</v>
      </c>
      <c r="E12" s="15">
        <v>10601</v>
      </c>
      <c r="F12" s="15">
        <v>6371</v>
      </c>
      <c r="G12" s="15">
        <v>10643</v>
      </c>
      <c r="H12" s="15">
        <v>6413</v>
      </c>
      <c r="I12" s="15">
        <v>10685</v>
      </c>
      <c r="J12" s="15">
        <v>6455</v>
      </c>
      <c r="K12" s="15">
        <v>10726</v>
      </c>
      <c r="L12" s="15">
        <v>6496</v>
      </c>
      <c r="M12" s="15">
        <v>10768</v>
      </c>
      <c r="N12" s="15">
        <v>6538</v>
      </c>
      <c r="O12" s="15">
        <v>10810</v>
      </c>
      <c r="P12" s="15">
        <v>6580</v>
      </c>
      <c r="Q12" s="15">
        <v>10848</v>
      </c>
      <c r="R12" s="15">
        <v>6618</v>
      </c>
      <c r="S12" s="15">
        <v>10885</v>
      </c>
      <c r="T12" s="15">
        <v>6655</v>
      </c>
      <c r="U12" s="15">
        <v>10922</v>
      </c>
      <c r="V12" s="15">
        <v>6692</v>
      </c>
      <c r="W12" s="15">
        <v>10960</v>
      </c>
      <c r="X12" s="15">
        <v>6730</v>
      </c>
      <c r="Y12" s="15">
        <v>10998</v>
      </c>
      <c r="Z12" s="15">
        <v>6768</v>
      </c>
      <c r="AA12" s="15">
        <v>11035</v>
      </c>
      <c r="AB12" s="15">
        <v>6805</v>
      </c>
    </row>
    <row r="13" spans="1:28" x14ac:dyDescent="0.2">
      <c r="A13" s="14" t="s">
        <v>60</v>
      </c>
      <c r="B13" s="15">
        <v>3285</v>
      </c>
      <c r="C13" s="15">
        <v>10560</v>
      </c>
      <c r="D13" s="15">
        <v>7275</v>
      </c>
      <c r="E13" s="15">
        <v>10601</v>
      </c>
      <c r="F13" s="15">
        <v>7316</v>
      </c>
      <c r="G13" s="15">
        <v>10643</v>
      </c>
      <c r="H13" s="15">
        <v>7358</v>
      </c>
      <c r="I13" s="15">
        <v>10685</v>
      </c>
      <c r="J13" s="15">
        <v>7400</v>
      </c>
      <c r="K13" s="15">
        <v>10726</v>
      </c>
      <c r="L13" s="15">
        <v>7441</v>
      </c>
      <c r="M13" s="15">
        <v>10768</v>
      </c>
      <c r="N13" s="15">
        <v>7483</v>
      </c>
      <c r="O13" s="15">
        <v>10810</v>
      </c>
      <c r="P13" s="15">
        <v>7525</v>
      </c>
      <c r="Q13" s="15">
        <v>10848</v>
      </c>
      <c r="R13" s="15">
        <v>7563</v>
      </c>
      <c r="S13" s="15">
        <v>10885</v>
      </c>
      <c r="T13" s="15">
        <v>7600</v>
      </c>
      <c r="U13" s="15">
        <v>10922</v>
      </c>
      <c r="V13" s="15">
        <v>7637</v>
      </c>
      <c r="W13" s="15">
        <v>10960</v>
      </c>
      <c r="X13" s="15">
        <v>7675</v>
      </c>
      <c r="Y13" s="15">
        <v>10998</v>
      </c>
      <c r="Z13" s="15">
        <v>7713</v>
      </c>
      <c r="AA13" s="15">
        <v>11035</v>
      </c>
      <c r="AB13" s="15">
        <v>7750</v>
      </c>
    </row>
    <row r="14" spans="1:28" x14ac:dyDescent="0.2">
      <c r="A14" s="14" t="s">
        <v>61</v>
      </c>
      <c r="B14" s="15">
        <v>2215</v>
      </c>
      <c r="C14" s="15">
        <v>10560</v>
      </c>
      <c r="D14" s="15">
        <v>8345</v>
      </c>
      <c r="E14" s="15">
        <v>10601</v>
      </c>
      <c r="F14" s="15">
        <v>8386</v>
      </c>
      <c r="G14" s="15">
        <v>10643</v>
      </c>
      <c r="H14" s="15">
        <v>8428</v>
      </c>
      <c r="I14" s="15">
        <v>10685</v>
      </c>
      <c r="J14" s="15">
        <v>8470</v>
      </c>
      <c r="K14" s="15">
        <v>10726</v>
      </c>
      <c r="L14" s="15">
        <v>8511</v>
      </c>
      <c r="M14" s="15">
        <v>10768</v>
      </c>
      <c r="N14" s="15">
        <v>8553</v>
      </c>
      <c r="O14" s="15">
        <v>10810</v>
      </c>
      <c r="P14" s="15">
        <v>8595</v>
      </c>
      <c r="Q14" s="15">
        <v>10848</v>
      </c>
      <c r="R14" s="15">
        <v>8633</v>
      </c>
      <c r="S14" s="15">
        <v>10885</v>
      </c>
      <c r="T14" s="15">
        <v>8670</v>
      </c>
      <c r="U14" s="15">
        <v>10922</v>
      </c>
      <c r="V14" s="15">
        <v>8707</v>
      </c>
      <c r="W14" s="15">
        <v>10960</v>
      </c>
      <c r="X14" s="15">
        <v>8745</v>
      </c>
      <c r="Y14" s="15">
        <v>10998</v>
      </c>
      <c r="Z14" s="15">
        <v>8783</v>
      </c>
      <c r="AA14" s="15">
        <v>11035</v>
      </c>
      <c r="AB14" s="15">
        <v>8820</v>
      </c>
    </row>
    <row r="15" spans="1:28" x14ac:dyDescent="0.2">
      <c r="A15" s="14" t="s">
        <v>62</v>
      </c>
      <c r="B15" s="15">
        <v>2140</v>
      </c>
      <c r="C15" s="15">
        <v>10560</v>
      </c>
      <c r="D15" s="15">
        <v>8420</v>
      </c>
      <c r="E15" s="15">
        <v>10601</v>
      </c>
      <c r="F15" s="15">
        <v>8461</v>
      </c>
      <c r="G15" s="15">
        <v>10643</v>
      </c>
      <c r="H15" s="15">
        <v>8503</v>
      </c>
      <c r="I15" s="15">
        <v>10685</v>
      </c>
      <c r="J15" s="15">
        <v>8545</v>
      </c>
      <c r="K15" s="15">
        <v>10726</v>
      </c>
      <c r="L15" s="15">
        <v>8586</v>
      </c>
      <c r="M15" s="15">
        <v>10768</v>
      </c>
      <c r="N15" s="15">
        <v>8628</v>
      </c>
      <c r="O15" s="15">
        <v>10810</v>
      </c>
      <c r="P15" s="15">
        <v>8670</v>
      </c>
      <c r="Q15" s="15">
        <v>10848</v>
      </c>
      <c r="R15" s="15">
        <v>8708</v>
      </c>
      <c r="S15" s="15">
        <v>10885</v>
      </c>
      <c r="T15" s="15">
        <v>8745</v>
      </c>
      <c r="U15" s="15">
        <v>10922</v>
      </c>
      <c r="V15" s="15">
        <v>8782</v>
      </c>
      <c r="W15" s="15">
        <v>10960</v>
      </c>
      <c r="X15" s="15">
        <v>8820</v>
      </c>
      <c r="Y15" s="15">
        <v>10998</v>
      </c>
      <c r="Z15" s="15">
        <v>8858</v>
      </c>
      <c r="AA15" s="15">
        <v>11035</v>
      </c>
      <c r="AB15" s="15">
        <v>8895</v>
      </c>
    </row>
    <row r="16" spans="1:28" x14ac:dyDescent="0.2">
      <c r="A16" s="14" t="s">
        <v>63</v>
      </c>
      <c r="B16" s="15">
        <v>2405</v>
      </c>
      <c r="C16" s="15">
        <v>10560</v>
      </c>
      <c r="D16" s="15">
        <v>8155</v>
      </c>
      <c r="E16" s="15">
        <v>10601</v>
      </c>
      <c r="F16" s="15">
        <v>8196</v>
      </c>
      <c r="G16" s="15">
        <v>10643</v>
      </c>
      <c r="H16" s="15">
        <v>8238</v>
      </c>
      <c r="I16" s="15">
        <v>10685</v>
      </c>
      <c r="J16" s="15">
        <v>8280</v>
      </c>
      <c r="K16" s="15">
        <v>10726</v>
      </c>
      <c r="L16" s="15">
        <v>8321</v>
      </c>
      <c r="M16" s="15">
        <v>10768</v>
      </c>
      <c r="N16" s="15">
        <v>8363</v>
      </c>
      <c r="O16" s="15">
        <v>10810</v>
      </c>
      <c r="P16" s="15">
        <v>8405</v>
      </c>
      <c r="Q16" s="15">
        <v>10848</v>
      </c>
      <c r="R16" s="15">
        <v>8443</v>
      </c>
      <c r="S16" s="15">
        <v>10885</v>
      </c>
      <c r="T16" s="15">
        <v>8480</v>
      </c>
      <c r="U16" s="15">
        <v>10922</v>
      </c>
      <c r="V16" s="15">
        <v>8517</v>
      </c>
      <c r="W16" s="15">
        <v>10960</v>
      </c>
      <c r="X16" s="15">
        <v>8555</v>
      </c>
      <c r="Y16" s="15">
        <v>10998</v>
      </c>
      <c r="Z16" s="15">
        <v>8593</v>
      </c>
      <c r="AA16" s="15">
        <v>11035</v>
      </c>
      <c r="AB16" s="15">
        <v>8630</v>
      </c>
    </row>
    <row r="17" spans="1:28" x14ac:dyDescent="0.2">
      <c r="A17" s="14" t="s">
        <v>64</v>
      </c>
      <c r="B17" s="15">
        <v>2610</v>
      </c>
      <c r="C17" s="15">
        <v>10560</v>
      </c>
      <c r="D17" s="15">
        <v>7950</v>
      </c>
      <c r="E17" s="15">
        <v>10601</v>
      </c>
      <c r="F17" s="15">
        <v>7991</v>
      </c>
      <c r="G17" s="15">
        <v>10643</v>
      </c>
      <c r="H17" s="15">
        <v>8033</v>
      </c>
      <c r="I17" s="15">
        <v>10685</v>
      </c>
      <c r="J17" s="15">
        <v>8075</v>
      </c>
      <c r="K17" s="15">
        <v>10726</v>
      </c>
      <c r="L17" s="15">
        <v>8116</v>
      </c>
      <c r="M17" s="15">
        <v>10768</v>
      </c>
      <c r="N17" s="15">
        <v>8158</v>
      </c>
      <c r="O17" s="15">
        <v>10810</v>
      </c>
      <c r="P17" s="15">
        <v>8200</v>
      </c>
      <c r="Q17" s="15">
        <v>10848</v>
      </c>
      <c r="R17" s="15">
        <v>8238</v>
      </c>
      <c r="S17" s="15">
        <v>10885</v>
      </c>
      <c r="T17" s="15">
        <v>8275</v>
      </c>
      <c r="U17" s="15">
        <v>10922</v>
      </c>
      <c r="V17" s="15">
        <v>8312</v>
      </c>
      <c r="W17" s="15">
        <v>10960</v>
      </c>
      <c r="X17" s="15">
        <v>8350</v>
      </c>
      <c r="Y17" s="15">
        <v>10998</v>
      </c>
      <c r="Z17" s="15">
        <v>8388</v>
      </c>
      <c r="AA17" s="15">
        <v>11035</v>
      </c>
      <c r="AB17" s="15">
        <v>8425</v>
      </c>
    </row>
    <row r="18" spans="1:28" x14ac:dyDescent="0.2">
      <c r="A18" s="14" t="s">
        <v>65</v>
      </c>
      <c r="B18" s="15">
        <v>2430</v>
      </c>
      <c r="C18" s="15">
        <v>10560</v>
      </c>
      <c r="D18" s="15">
        <v>8130</v>
      </c>
      <c r="E18" s="15">
        <v>10601</v>
      </c>
      <c r="F18" s="15">
        <v>8171</v>
      </c>
      <c r="G18" s="15">
        <v>10643</v>
      </c>
      <c r="H18" s="15">
        <v>8213</v>
      </c>
      <c r="I18" s="15">
        <v>10685</v>
      </c>
      <c r="J18" s="15">
        <v>8255</v>
      </c>
      <c r="K18" s="15">
        <v>10726</v>
      </c>
      <c r="L18" s="15">
        <v>8296</v>
      </c>
      <c r="M18" s="15">
        <v>10768</v>
      </c>
      <c r="N18" s="15">
        <v>8338</v>
      </c>
      <c r="O18" s="15">
        <v>10810</v>
      </c>
      <c r="P18" s="15">
        <v>8380</v>
      </c>
      <c r="Q18" s="15">
        <v>10848</v>
      </c>
      <c r="R18" s="15">
        <v>8418</v>
      </c>
      <c r="S18" s="15">
        <v>10885</v>
      </c>
      <c r="T18" s="15">
        <v>8455</v>
      </c>
      <c r="U18" s="15">
        <v>10922</v>
      </c>
      <c r="V18" s="15">
        <v>8492</v>
      </c>
      <c r="W18" s="15">
        <v>10960</v>
      </c>
      <c r="X18" s="15">
        <v>8530</v>
      </c>
      <c r="Y18" s="15">
        <v>10998</v>
      </c>
      <c r="Z18" s="15">
        <v>8568</v>
      </c>
      <c r="AA18" s="15">
        <v>11035</v>
      </c>
      <c r="AB18" s="15">
        <v>8605</v>
      </c>
    </row>
    <row r="19" spans="1:28" x14ac:dyDescent="0.2">
      <c r="A19" s="14" t="s">
        <v>66</v>
      </c>
      <c r="B19" s="15">
        <v>3250</v>
      </c>
      <c r="C19" s="15">
        <v>10560</v>
      </c>
      <c r="D19" s="15">
        <v>7310</v>
      </c>
      <c r="E19" s="15">
        <v>10601</v>
      </c>
      <c r="F19" s="15">
        <v>7351</v>
      </c>
      <c r="G19" s="15">
        <v>10643</v>
      </c>
      <c r="H19" s="15">
        <v>7393</v>
      </c>
      <c r="I19" s="15">
        <v>10685</v>
      </c>
      <c r="J19" s="15">
        <v>7435</v>
      </c>
      <c r="K19" s="15">
        <v>10726</v>
      </c>
      <c r="L19" s="15">
        <v>7476</v>
      </c>
      <c r="M19" s="15">
        <v>10768</v>
      </c>
      <c r="N19" s="15">
        <v>7518</v>
      </c>
      <c r="O19" s="15">
        <v>10810</v>
      </c>
      <c r="P19" s="15">
        <v>7560</v>
      </c>
      <c r="Q19" s="15">
        <v>10848</v>
      </c>
      <c r="R19" s="15">
        <v>7598</v>
      </c>
      <c r="S19" s="15">
        <v>10885</v>
      </c>
      <c r="T19" s="15">
        <v>7635</v>
      </c>
      <c r="U19" s="15">
        <v>10922</v>
      </c>
      <c r="V19" s="15">
        <v>7672</v>
      </c>
      <c r="W19" s="15">
        <v>10960</v>
      </c>
      <c r="X19" s="15">
        <v>7710</v>
      </c>
      <c r="Y19" s="15">
        <v>10998</v>
      </c>
      <c r="Z19" s="15">
        <v>7748</v>
      </c>
      <c r="AA19" s="15">
        <v>11035</v>
      </c>
      <c r="AB19" s="15">
        <v>7785</v>
      </c>
    </row>
    <row r="20" spans="1:28" x14ac:dyDescent="0.2">
      <c r="A20" s="14" t="s">
        <v>67</v>
      </c>
      <c r="B20" s="15">
        <v>4590</v>
      </c>
      <c r="C20" s="15">
        <v>10560</v>
      </c>
      <c r="D20" s="15">
        <v>5970</v>
      </c>
      <c r="E20" s="15">
        <v>10601</v>
      </c>
      <c r="F20" s="15">
        <v>6011</v>
      </c>
      <c r="G20" s="15">
        <v>10643</v>
      </c>
      <c r="H20" s="15">
        <v>6053</v>
      </c>
      <c r="I20" s="15">
        <v>10685</v>
      </c>
      <c r="J20" s="15">
        <v>6095</v>
      </c>
      <c r="K20" s="15">
        <v>10726</v>
      </c>
      <c r="L20" s="15">
        <v>6136</v>
      </c>
      <c r="M20" s="15">
        <v>10768</v>
      </c>
      <c r="N20" s="15">
        <v>6178</v>
      </c>
      <c r="O20" s="15">
        <v>10810</v>
      </c>
      <c r="P20" s="15">
        <v>6220</v>
      </c>
      <c r="Q20" s="15">
        <v>10848</v>
      </c>
      <c r="R20" s="15">
        <v>6258</v>
      </c>
      <c r="S20" s="15">
        <v>10885</v>
      </c>
      <c r="T20" s="15">
        <v>6295</v>
      </c>
      <c r="U20" s="15">
        <v>10922</v>
      </c>
      <c r="V20" s="15">
        <v>6332</v>
      </c>
      <c r="W20" s="15">
        <v>10960</v>
      </c>
      <c r="X20" s="15">
        <v>6370</v>
      </c>
      <c r="Y20" s="15">
        <v>10998</v>
      </c>
      <c r="Z20" s="15">
        <v>6408</v>
      </c>
      <c r="AA20" s="15">
        <v>11035</v>
      </c>
      <c r="AB20" s="15">
        <v>6445</v>
      </c>
    </row>
    <row r="21" spans="1:28" x14ac:dyDescent="0.2">
      <c r="A21" s="14" t="s">
        <v>68</v>
      </c>
      <c r="B21" s="15">
        <v>4105</v>
      </c>
      <c r="C21" s="15">
        <v>10560</v>
      </c>
      <c r="D21" s="15">
        <v>6455</v>
      </c>
      <c r="E21" s="15">
        <v>10601</v>
      </c>
      <c r="F21" s="15">
        <v>6496</v>
      </c>
      <c r="G21" s="15">
        <v>10643</v>
      </c>
      <c r="H21" s="15">
        <v>6538</v>
      </c>
      <c r="I21" s="15">
        <v>10685</v>
      </c>
      <c r="J21" s="15">
        <v>6580</v>
      </c>
      <c r="K21" s="15">
        <v>10726</v>
      </c>
      <c r="L21" s="15">
        <v>6621</v>
      </c>
      <c r="M21" s="15">
        <v>10768</v>
      </c>
      <c r="N21" s="15">
        <v>6663</v>
      </c>
      <c r="O21" s="15">
        <v>10810</v>
      </c>
      <c r="P21" s="15">
        <v>6705</v>
      </c>
      <c r="Q21" s="15">
        <v>10848</v>
      </c>
      <c r="R21" s="15">
        <v>6743</v>
      </c>
      <c r="S21" s="15">
        <v>10885</v>
      </c>
      <c r="T21" s="15">
        <v>6780</v>
      </c>
      <c r="U21" s="15">
        <v>10922</v>
      </c>
      <c r="V21" s="15">
        <v>6817</v>
      </c>
      <c r="W21" s="15">
        <v>10960</v>
      </c>
      <c r="X21" s="15">
        <v>6855</v>
      </c>
      <c r="Y21" s="15">
        <v>10998</v>
      </c>
      <c r="Z21" s="15">
        <v>6893</v>
      </c>
      <c r="AA21" s="15">
        <v>11035</v>
      </c>
      <c r="AB21" s="15">
        <v>6930</v>
      </c>
    </row>
    <row r="22" spans="1:28" x14ac:dyDescent="0.2">
      <c r="A22" s="14" t="s">
        <v>69</v>
      </c>
      <c r="B22" s="15">
        <v>5490</v>
      </c>
      <c r="C22" s="15">
        <v>10560</v>
      </c>
      <c r="D22" s="15">
        <v>5070</v>
      </c>
      <c r="E22" s="15">
        <v>10601</v>
      </c>
      <c r="F22" s="15">
        <v>5111</v>
      </c>
      <c r="G22" s="15">
        <v>10643</v>
      </c>
      <c r="H22" s="15">
        <v>5153</v>
      </c>
      <c r="I22" s="15">
        <v>10685</v>
      </c>
      <c r="J22" s="15">
        <v>5195</v>
      </c>
      <c r="K22" s="15">
        <v>10726</v>
      </c>
      <c r="L22" s="15">
        <v>5236</v>
      </c>
      <c r="M22" s="15">
        <v>10768</v>
      </c>
      <c r="N22" s="15">
        <v>5278</v>
      </c>
      <c r="O22" s="15">
        <v>10810</v>
      </c>
      <c r="P22" s="15">
        <v>5320</v>
      </c>
      <c r="Q22" s="15">
        <v>10848</v>
      </c>
      <c r="R22" s="15">
        <v>5358</v>
      </c>
      <c r="S22" s="15">
        <v>10885</v>
      </c>
      <c r="T22" s="15">
        <v>5395</v>
      </c>
      <c r="U22" s="15">
        <v>10922</v>
      </c>
      <c r="V22" s="15">
        <v>5432</v>
      </c>
      <c r="W22" s="15">
        <v>10960</v>
      </c>
      <c r="X22" s="15">
        <v>5470</v>
      </c>
      <c r="Y22" s="15">
        <v>10998</v>
      </c>
      <c r="Z22" s="15">
        <v>5508</v>
      </c>
      <c r="AA22" s="15">
        <v>11035</v>
      </c>
      <c r="AB22" s="15">
        <v>5545</v>
      </c>
    </row>
    <row r="23" spans="1:28" x14ac:dyDescent="0.2">
      <c r="A23" s="14" t="s">
        <v>70</v>
      </c>
      <c r="B23" s="15">
        <v>6025</v>
      </c>
      <c r="C23" s="15">
        <v>10560</v>
      </c>
      <c r="D23" s="15">
        <v>4535</v>
      </c>
      <c r="E23" s="15">
        <v>10601</v>
      </c>
      <c r="F23" s="15">
        <v>4576</v>
      </c>
      <c r="G23" s="15">
        <v>10643</v>
      </c>
      <c r="H23" s="15">
        <v>4618</v>
      </c>
      <c r="I23" s="15">
        <v>10685</v>
      </c>
      <c r="J23" s="15">
        <v>4660</v>
      </c>
      <c r="K23" s="15">
        <v>10726</v>
      </c>
      <c r="L23" s="15">
        <v>4701</v>
      </c>
      <c r="M23" s="15">
        <v>10768</v>
      </c>
      <c r="N23" s="15">
        <v>4743</v>
      </c>
      <c r="O23" s="15">
        <v>10810</v>
      </c>
      <c r="P23" s="15">
        <v>4785</v>
      </c>
      <c r="Q23" s="15">
        <v>10848</v>
      </c>
      <c r="R23" s="15">
        <v>4823</v>
      </c>
      <c r="S23" s="15">
        <v>10885</v>
      </c>
      <c r="T23" s="15">
        <v>4860</v>
      </c>
      <c r="U23" s="15">
        <v>10922</v>
      </c>
      <c r="V23" s="15">
        <v>4897</v>
      </c>
      <c r="W23" s="15">
        <v>10960</v>
      </c>
      <c r="X23" s="15">
        <v>4935</v>
      </c>
      <c r="Y23" s="15">
        <v>10998</v>
      </c>
      <c r="Z23" s="15">
        <v>4973</v>
      </c>
      <c r="AA23" s="15">
        <v>11035</v>
      </c>
      <c r="AB23" s="15">
        <v>5010</v>
      </c>
    </row>
    <row r="24" spans="1:28" x14ac:dyDescent="0.2">
      <c r="A24" s="14" t="s">
        <v>71</v>
      </c>
      <c r="B24" s="15">
        <v>3370</v>
      </c>
      <c r="C24" s="15">
        <v>10560</v>
      </c>
      <c r="D24" s="15">
        <v>7190</v>
      </c>
      <c r="E24" s="15">
        <v>10601</v>
      </c>
      <c r="F24" s="15">
        <v>7231</v>
      </c>
      <c r="G24" s="15">
        <v>10643</v>
      </c>
      <c r="H24" s="15">
        <v>7273</v>
      </c>
      <c r="I24" s="15">
        <v>10685</v>
      </c>
      <c r="J24" s="15">
        <v>7315</v>
      </c>
      <c r="K24" s="15">
        <v>10726</v>
      </c>
      <c r="L24" s="15">
        <v>7356</v>
      </c>
      <c r="M24" s="15">
        <v>10768</v>
      </c>
      <c r="N24" s="15">
        <v>7398</v>
      </c>
      <c r="O24" s="15">
        <v>10810</v>
      </c>
      <c r="P24" s="15">
        <v>7440</v>
      </c>
      <c r="Q24" s="15">
        <v>10848</v>
      </c>
      <c r="R24" s="15">
        <v>7478</v>
      </c>
      <c r="S24" s="15">
        <v>10885</v>
      </c>
      <c r="T24" s="15">
        <v>7515</v>
      </c>
      <c r="U24" s="15">
        <v>10922</v>
      </c>
      <c r="V24" s="15">
        <v>7552</v>
      </c>
      <c r="W24" s="15">
        <v>10960</v>
      </c>
      <c r="X24" s="15">
        <v>7590</v>
      </c>
      <c r="Y24" s="15">
        <v>10998</v>
      </c>
      <c r="Z24" s="15">
        <v>7628</v>
      </c>
      <c r="AA24" s="15">
        <v>11035</v>
      </c>
      <c r="AB24" s="15">
        <v>7665</v>
      </c>
    </row>
  </sheetData>
  <mergeCells count="14">
    <mergeCell ref="A1:AB1"/>
    <mergeCell ref="C2:D2"/>
    <mergeCell ref="G2:H2"/>
    <mergeCell ref="E2:F2"/>
    <mergeCell ref="AA2:AB2"/>
    <mergeCell ref="Y2:Z2"/>
    <mergeCell ref="K2:L2"/>
    <mergeCell ref="I2:J2"/>
    <mergeCell ref="O2:P2"/>
    <mergeCell ref="M2:N2"/>
    <mergeCell ref="S2:T2"/>
    <mergeCell ref="Q2:R2"/>
    <mergeCell ref="W2:X2"/>
    <mergeCell ref="U2:V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workbookViewId="0">
      <pane xSplit="2" ySplit="3" topLeftCell="C4" activePane="bottomRight" state="frozen"/>
      <selection pane="bottomLeft"/>
      <selection pane="topRight"/>
      <selection pane="bottomRight" activeCell="A2" sqref="A1:A1048576"/>
    </sheetView>
  </sheetViews>
  <sheetFormatPr defaultRowHeight="15" x14ac:dyDescent="0.2"/>
  <cols>
    <col min="1" max="1" width="22.328125" style="19" customWidth="1"/>
    <col min="2" max="2" width="18.96484375" style="19" customWidth="1"/>
    <col min="3" max="15" width="18.0234375" style="19" customWidth="1"/>
    <col min="16" max="16" width="45.0625" style="19" customWidth="1"/>
  </cols>
  <sheetData>
    <row r="1" spans="1:16" ht="18.75" customHeight="1" x14ac:dyDescent="0.25">
      <c r="A1" s="23" t="s">
        <v>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3" spans="1:16" x14ac:dyDescent="0.2">
      <c r="A3" s="18" t="s">
        <v>41</v>
      </c>
      <c r="B3" s="18" t="s">
        <v>73</v>
      </c>
      <c r="C3" s="16" t="s">
        <v>13</v>
      </c>
      <c r="D3" s="16" t="s">
        <v>15</v>
      </c>
      <c r="E3" s="16" t="s">
        <v>17</v>
      </c>
      <c r="F3" s="16" t="s">
        <v>19</v>
      </c>
      <c r="G3" s="16" t="s">
        <v>21</v>
      </c>
      <c r="H3" s="16" t="s">
        <v>23</v>
      </c>
      <c r="I3" s="16" t="s">
        <v>25</v>
      </c>
      <c r="J3" s="16" t="s">
        <v>27</v>
      </c>
      <c r="K3" s="16" t="s">
        <v>29</v>
      </c>
      <c r="L3" s="16" t="s">
        <v>31</v>
      </c>
      <c r="M3" s="16" t="s">
        <v>33</v>
      </c>
      <c r="N3" s="16" t="s">
        <v>35</v>
      </c>
      <c r="O3" s="16" t="s">
        <v>37</v>
      </c>
      <c r="P3" s="21" t="s">
        <v>77</v>
      </c>
    </row>
    <row r="4" spans="1:16" ht="27.75" x14ac:dyDescent="0.2">
      <c r="A4" t="s">
        <v>51</v>
      </c>
      <c r="B4" s="11">
        <v>2980</v>
      </c>
      <c r="C4" s="11">
        <v>7580</v>
      </c>
      <c r="D4" s="11">
        <v>7621</v>
      </c>
      <c r="E4" s="11">
        <v>7663</v>
      </c>
      <c r="F4" s="11">
        <v>7705</v>
      </c>
      <c r="G4" s="11">
        <v>7746</v>
      </c>
      <c r="H4" s="11">
        <v>7788</v>
      </c>
      <c r="I4" s="11">
        <v>7830</v>
      </c>
      <c r="J4" s="11">
        <v>7868</v>
      </c>
      <c r="K4" s="11">
        <v>7905</v>
      </c>
      <c r="L4" s="11">
        <v>7942</v>
      </c>
      <c r="M4" s="11">
        <v>7980</v>
      </c>
      <c r="N4" s="11">
        <v>8018</v>
      </c>
      <c r="O4" s="11">
        <v>8055</v>
      </c>
      <c r="P4" s="22" t="s">
        <v>78</v>
      </c>
    </row>
    <row r="5" spans="1:16" ht="27.75" x14ac:dyDescent="0.2">
      <c r="A5" t="s">
        <v>52</v>
      </c>
      <c r="B5" s="11">
        <v>3420</v>
      </c>
      <c r="C5" s="11">
        <v>7140</v>
      </c>
      <c r="D5" s="11">
        <v>7181</v>
      </c>
      <c r="E5" s="11">
        <v>7223</v>
      </c>
      <c r="F5" s="11">
        <v>7265</v>
      </c>
      <c r="G5" s="11">
        <v>7306</v>
      </c>
      <c r="H5" s="11">
        <v>7348</v>
      </c>
      <c r="I5" s="11">
        <v>7390</v>
      </c>
      <c r="J5" s="11">
        <v>7428</v>
      </c>
      <c r="K5" s="11">
        <v>7465</v>
      </c>
      <c r="L5" s="11">
        <v>7502</v>
      </c>
      <c r="M5" s="11">
        <v>7540</v>
      </c>
      <c r="N5" s="11">
        <v>7578</v>
      </c>
      <c r="O5" s="11">
        <v>7615</v>
      </c>
      <c r="P5" s="22" t="s">
        <v>78</v>
      </c>
    </row>
    <row r="6" spans="1:16" ht="27.75" x14ac:dyDescent="0.2">
      <c r="A6" t="s">
        <v>53</v>
      </c>
      <c r="B6" s="11">
        <v>4035</v>
      </c>
      <c r="C6" s="11">
        <v>6525</v>
      </c>
      <c r="D6" s="11">
        <v>6566</v>
      </c>
      <c r="E6" s="11">
        <v>6608</v>
      </c>
      <c r="F6" s="11">
        <v>6650</v>
      </c>
      <c r="G6" s="11">
        <v>6691</v>
      </c>
      <c r="H6" s="11">
        <v>6733</v>
      </c>
      <c r="I6" s="11">
        <v>6775</v>
      </c>
      <c r="J6" s="11">
        <v>6813</v>
      </c>
      <c r="K6" s="11">
        <v>6850</v>
      </c>
      <c r="L6" s="11">
        <v>6887</v>
      </c>
      <c r="M6" s="11">
        <v>6925</v>
      </c>
      <c r="N6" s="11">
        <v>6963</v>
      </c>
      <c r="O6" s="11">
        <v>7000</v>
      </c>
      <c r="P6" s="22" t="s">
        <v>78</v>
      </c>
    </row>
    <row r="7" spans="1:16" ht="27.75" x14ac:dyDescent="0.2">
      <c r="A7" t="s">
        <v>54</v>
      </c>
      <c r="B7" s="11">
        <v>2450</v>
      </c>
      <c r="C7" s="11">
        <v>8110</v>
      </c>
      <c r="D7" s="11">
        <v>8151</v>
      </c>
      <c r="E7" s="11">
        <v>8193</v>
      </c>
      <c r="F7" s="11">
        <v>8235</v>
      </c>
      <c r="G7" s="11">
        <v>8276</v>
      </c>
      <c r="H7" s="11">
        <v>8318</v>
      </c>
      <c r="I7" s="11">
        <v>8360</v>
      </c>
      <c r="J7" s="11">
        <v>8398</v>
      </c>
      <c r="K7" s="11">
        <v>8435</v>
      </c>
      <c r="L7" s="11">
        <v>8472</v>
      </c>
      <c r="M7" s="11">
        <v>8510</v>
      </c>
      <c r="N7" s="11">
        <v>8548</v>
      </c>
      <c r="O7" s="11">
        <v>8585</v>
      </c>
      <c r="P7" s="22" t="s">
        <v>79</v>
      </c>
    </row>
    <row r="8" spans="1:16" ht="27.75" x14ac:dyDescent="0.2">
      <c r="A8" t="s">
        <v>55</v>
      </c>
      <c r="B8" s="11">
        <v>3355</v>
      </c>
      <c r="C8" s="11">
        <v>7205</v>
      </c>
      <c r="D8" s="11">
        <v>7246</v>
      </c>
      <c r="E8" s="11">
        <v>7288</v>
      </c>
      <c r="F8" s="11">
        <v>7330</v>
      </c>
      <c r="G8" s="11">
        <v>7371</v>
      </c>
      <c r="H8" s="11">
        <v>7413</v>
      </c>
      <c r="I8" s="11">
        <v>7455</v>
      </c>
      <c r="J8" s="11">
        <v>7493</v>
      </c>
      <c r="K8" s="11">
        <v>7530</v>
      </c>
      <c r="L8" s="11">
        <v>7567</v>
      </c>
      <c r="M8" s="11">
        <v>7605</v>
      </c>
      <c r="N8" s="11">
        <v>7643</v>
      </c>
      <c r="O8" s="11">
        <v>7680</v>
      </c>
      <c r="P8" s="22" t="s">
        <v>79</v>
      </c>
    </row>
    <row r="9" spans="1:16" ht="27.75" x14ac:dyDescent="0.2">
      <c r="A9" t="s">
        <v>56</v>
      </c>
      <c r="B9" s="11">
        <v>2185</v>
      </c>
      <c r="C9" s="11">
        <v>8375</v>
      </c>
      <c r="D9" s="11">
        <v>8416</v>
      </c>
      <c r="E9" s="11">
        <v>8458</v>
      </c>
      <c r="F9" s="11">
        <v>8500</v>
      </c>
      <c r="G9" s="11">
        <v>8541</v>
      </c>
      <c r="H9" s="11">
        <v>8583</v>
      </c>
      <c r="I9" s="11">
        <v>8625</v>
      </c>
      <c r="J9" s="11">
        <v>8663</v>
      </c>
      <c r="K9" s="11">
        <v>8700</v>
      </c>
      <c r="L9" s="11">
        <v>8737</v>
      </c>
      <c r="M9" s="11">
        <v>8775</v>
      </c>
      <c r="N9" s="11">
        <v>8813</v>
      </c>
      <c r="O9" s="11">
        <v>8850</v>
      </c>
      <c r="P9" s="22" t="s">
        <v>79</v>
      </c>
    </row>
    <row r="10" spans="1:16" ht="27.75" x14ac:dyDescent="0.2">
      <c r="A10" t="s">
        <v>57</v>
      </c>
      <c r="B10" s="11">
        <v>2965</v>
      </c>
      <c r="C10" s="11">
        <v>7595</v>
      </c>
      <c r="D10" s="11">
        <v>7636</v>
      </c>
      <c r="E10" s="11">
        <v>7678</v>
      </c>
      <c r="F10" s="11">
        <v>7720</v>
      </c>
      <c r="G10" s="11">
        <v>7761</v>
      </c>
      <c r="H10" s="11">
        <v>7803</v>
      </c>
      <c r="I10" s="11">
        <v>7845</v>
      </c>
      <c r="J10" s="11">
        <v>7883</v>
      </c>
      <c r="K10" s="11">
        <v>7920</v>
      </c>
      <c r="L10" s="11">
        <v>7957</v>
      </c>
      <c r="M10" s="11">
        <v>7995</v>
      </c>
      <c r="N10" s="11">
        <v>8033</v>
      </c>
      <c r="O10" s="11">
        <v>8070</v>
      </c>
      <c r="P10" s="22" t="s">
        <v>80</v>
      </c>
    </row>
    <row r="11" spans="1:16" ht="27.75" x14ac:dyDescent="0.2">
      <c r="A11" t="s">
        <v>58</v>
      </c>
      <c r="B11" s="11">
        <v>3575</v>
      </c>
      <c r="C11" s="11">
        <v>6985</v>
      </c>
      <c r="D11" s="11">
        <v>7026</v>
      </c>
      <c r="E11" s="11">
        <v>7068</v>
      </c>
      <c r="F11" s="11">
        <v>7110</v>
      </c>
      <c r="G11" s="11">
        <v>7151</v>
      </c>
      <c r="H11" s="11">
        <v>7193</v>
      </c>
      <c r="I11" s="11">
        <v>7235</v>
      </c>
      <c r="J11" s="11">
        <v>7273</v>
      </c>
      <c r="K11" s="11">
        <v>7310</v>
      </c>
      <c r="L11" s="11">
        <v>7347</v>
      </c>
      <c r="M11" s="11">
        <v>7385</v>
      </c>
      <c r="N11" s="11">
        <v>7423</v>
      </c>
      <c r="O11" s="11">
        <v>7460</v>
      </c>
      <c r="P11" s="22" t="s">
        <v>81</v>
      </c>
    </row>
    <row r="12" spans="1:16" ht="27.75" x14ac:dyDescent="0.2">
      <c r="A12" t="s">
        <v>59</v>
      </c>
      <c r="B12" s="11">
        <v>4230</v>
      </c>
      <c r="C12" s="11">
        <v>6330</v>
      </c>
      <c r="D12" s="11">
        <v>6371</v>
      </c>
      <c r="E12" s="11">
        <v>6413</v>
      </c>
      <c r="F12" s="11">
        <v>6455</v>
      </c>
      <c r="G12" s="11">
        <v>6496</v>
      </c>
      <c r="H12" s="11">
        <v>6538</v>
      </c>
      <c r="I12" s="11">
        <v>6580</v>
      </c>
      <c r="J12" s="11">
        <v>6618</v>
      </c>
      <c r="K12" s="11">
        <v>6655</v>
      </c>
      <c r="L12" s="11">
        <v>6692</v>
      </c>
      <c r="M12" s="11">
        <v>6730</v>
      </c>
      <c r="N12" s="11">
        <v>6768</v>
      </c>
      <c r="O12" s="11">
        <v>6805</v>
      </c>
      <c r="P12" s="22" t="s">
        <v>81</v>
      </c>
    </row>
    <row r="13" spans="1:16" ht="27.75" x14ac:dyDescent="0.2">
      <c r="A13" t="s">
        <v>60</v>
      </c>
      <c r="B13" s="11">
        <v>3285</v>
      </c>
      <c r="C13" s="11">
        <v>7275</v>
      </c>
      <c r="D13" s="11">
        <v>7316</v>
      </c>
      <c r="E13" s="11">
        <v>7358</v>
      </c>
      <c r="F13" s="11">
        <v>7400</v>
      </c>
      <c r="G13" s="11">
        <v>7441</v>
      </c>
      <c r="H13" s="11">
        <v>7483</v>
      </c>
      <c r="I13" s="11">
        <v>7525</v>
      </c>
      <c r="J13" s="11">
        <v>7563</v>
      </c>
      <c r="K13" s="11">
        <v>7600</v>
      </c>
      <c r="L13" s="11">
        <v>7637</v>
      </c>
      <c r="M13" s="11">
        <v>7675</v>
      </c>
      <c r="N13" s="11">
        <v>7713</v>
      </c>
      <c r="O13" s="11">
        <v>7750</v>
      </c>
      <c r="P13" s="22" t="s">
        <v>81</v>
      </c>
    </row>
    <row r="14" spans="1:16" ht="27.75" x14ac:dyDescent="0.2">
      <c r="A14" t="s">
        <v>61</v>
      </c>
      <c r="B14" s="11">
        <v>2215</v>
      </c>
      <c r="C14" s="11">
        <v>8345</v>
      </c>
      <c r="D14" s="11">
        <v>8386</v>
      </c>
      <c r="E14" s="11">
        <v>8428</v>
      </c>
      <c r="F14" s="11">
        <v>8470</v>
      </c>
      <c r="G14" s="11">
        <v>8511</v>
      </c>
      <c r="H14" s="11">
        <v>8553</v>
      </c>
      <c r="I14" s="11">
        <v>8595</v>
      </c>
      <c r="J14" s="11">
        <v>8633</v>
      </c>
      <c r="K14" s="11">
        <v>8670</v>
      </c>
      <c r="L14" s="11">
        <v>8707</v>
      </c>
      <c r="M14" s="11">
        <v>8745</v>
      </c>
      <c r="N14" s="11">
        <v>8783</v>
      </c>
      <c r="O14" s="11">
        <v>8820</v>
      </c>
      <c r="P14" s="22" t="s">
        <v>82</v>
      </c>
    </row>
    <row r="15" spans="1:16" ht="27.75" x14ac:dyDescent="0.2">
      <c r="A15" t="s">
        <v>62</v>
      </c>
      <c r="B15" s="11">
        <v>2140</v>
      </c>
      <c r="C15" s="11">
        <v>8420</v>
      </c>
      <c r="D15" s="11">
        <v>8461</v>
      </c>
      <c r="E15" s="11">
        <v>8503</v>
      </c>
      <c r="F15" s="11">
        <v>8545</v>
      </c>
      <c r="G15" s="11">
        <v>8586</v>
      </c>
      <c r="H15" s="11">
        <v>8628</v>
      </c>
      <c r="I15" s="11">
        <v>8670</v>
      </c>
      <c r="J15" s="11">
        <v>8708</v>
      </c>
      <c r="K15" s="11">
        <v>8745</v>
      </c>
      <c r="L15" s="11">
        <v>8782</v>
      </c>
      <c r="M15" s="11">
        <v>8820</v>
      </c>
      <c r="N15" s="11">
        <v>8858</v>
      </c>
      <c r="O15" s="11">
        <v>8895</v>
      </c>
      <c r="P15" s="22" t="s">
        <v>82</v>
      </c>
    </row>
    <row r="16" spans="1:16" ht="27.75" x14ac:dyDescent="0.2">
      <c r="A16" t="s">
        <v>63</v>
      </c>
      <c r="B16" s="11">
        <v>2405</v>
      </c>
      <c r="C16" s="11">
        <v>8155</v>
      </c>
      <c r="D16" s="11">
        <v>8196</v>
      </c>
      <c r="E16" s="11">
        <v>8238</v>
      </c>
      <c r="F16" s="11">
        <v>8280</v>
      </c>
      <c r="G16" s="11">
        <v>8321</v>
      </c>
      <c r="H16" s="11">
        <v>8363</v>
      </c>
      <c r="I16" s="11">
        <v>8405</v>
      </c>
      <c r="J16" s="11">
        <v>8443</v>
      </c>
      <c r="K16" s="11">
        <v>8480</v>
      </c>
      <c r="L16" s="11">
        <v>8517</v>
      </c>
      <c r="M16" s="11">
        <v>8555</v>
      </c>
      <c r="N16" s="11">
        <v>8593</v>
      </c>
      <c r="O16" s="11">
        <v>8630</v>
      </c>
      <c r="P16" s="22" t="s">
        <v>82</v>
      </c>
    </row>
    <row r="17" spans="1:16" ht="27.75" x14ac:dyDescent="0.2">
      <c r="A17" t="s">
        <v>64</v>
      </c>
      <c r="B17" s="11">
        <v>2610</v>
      </c>
      <c r="C17" s="11">
        <v>7950</v>
      </c>
      <c r="D17" s="11">
        <v>7991</v>
      </c>
      <c r="E17" s="11">
        <v>8033</v>
      </c>
      <c r="F17" s="11">
        <v>8075</v>
      </c>
      <c r="G17" s="11">
        <v>8116</v>
      </c>
      <c r="H17" s="11">
        <v>8158</v>
      </c>
      <c r="I17" s="11">
        <v>8200</v>
      </c>
      <c r="J17" s="11">
        <v>8238</v>
      </c>
      <c r="K17" s="11">
        <v>8275</v>
      </c>
      <c r="L17" s="11">
        <v>8312</v>
      </c>
      <c r="M17" s="11">
        <v>8350</v>
      </c>
      <c r="N17" s="11">
        <v>8388</v>
      </c>
      <c r="O17" s="11">
        <v>8425</v>
      </c>
      <c r="P17" s="22" t="s">
        <v>82</v>
      </c>
    </row>
    <row r="18" spans="1:16" ht="27.75" x14ac:dyDescent="0.2">
      <c r="A18" t="s">
        <v>65</v>
      </c>
      <c r="B18" s="11">
        <v>2430</v>
      </c>
      <c r="C18" s="11">
        <v>8130</v>
      </c>
      <c r="D18" s="11">
        <v>8171</v>
      </c>
      <c r="E18" s="11">
        <v>8213</v>
      </c>
      <c r="F18" s="11">
        <v>8255</v>
      </c>
      <c r="G18" s="11">
        <v>8296</v>
      </c>
      <c r="H18" s="11">
        <v>8338</v>
      </c>
      <c r="I18" s="11">
        <v>8380</v>
      </c>
      <c r="J18" s="11">
        <v>8418</v>
      </c>
      <c r="K18" s="11">
        <v>8455</v>
      </c>
      <c r="L18" s="11">
        <v>8492</v>
      </c>
      <c r="M18" s="11">
        <v>8530</v>
      </c>
      <c r="N18" s="11">
        <v>8568</v>
      </c>
      <c r="O18" s="11">
        <v>8605</v>
      </c>
      <c r="P18" s="22" t="s">
        <v>83</v>
      </c>
    </row>
    <row r="19" spans="1:16" x14ac:dyDescent="0.2">
      <c r="A19" t="s">
        <v>66</v>
      </c>
      <c r="B19" s="11">
        <v>3250</v>
      </c>
      <c r="C19" s="11">
        <v>7310</v>
      </c>
      <c r="D19" s="11">
        <v>7351</v>
      </c>
      <c r="E19" s="11">
        <v>7393</v>
      </c>
      <c r="F19" s="11">
        <v>7435</v>
      </c>
      <c r="G19" s="11">
        <v>7476</v>
      </c>
      <c r="H19" s="11">
        <v>7518</v>
      </c>
      <c r="I19" s="11">
        <v>7560</v>
      </c>
      <c r="J19" s="11">
        <v>7598</v>
      </c>
      <c r="K19" s="11">
        <v>7635</v>
      </c>
      <c r="L19" s="11">
        <v>7672</v>
      </c>
      <c r="M19" s="11">
        <v>7710</v>
      </c>
      <c r="N19" s="11">
        <v>7748</v>
      </c>
      <c r="O19" s="11">
        <v>7785</v>
      </c>
      <c r="P19" s="22" t="s">
        <v>84</v>
      </c>
    </row>
    <row r="20" spans="1:16" ht="27.75" x14ac:dyDescent="0.2">
      <c r="A20" t="s">
        <v>67</v>
      </c>
      <c r="B20" s="11">
        <v>4590</v>
      </c>
      <c r="C20" s="11">
        <v>5970</v>
      </c>
      <c r="D20" s="11">
        <v>6011</v>
      </c>
      <c r="E20" s="11">
        <v>6053</v>
      </c>
      <c r="F20" s="11">
        <v>6095</v>
      </c>
      <c r="G20" s="11">
        <v>6136</v>
      </c>
      <c r="H20" s="11">
        <v>6178</v>
      </c>
      <c r="I20" s="11">
        <v>6220</v>
      </c>
      <c r="J20" s="11">
        <v>6258</v>
      </c>
      <c r="K20" s="11">
        <v>6295</v>
      </c>
      <c r="L20" s="11">
        <v>6332</v>
      </c>
      <c r="M20" s="11">
        <v>6370</v>
      </c>
      <c r="N20" s="11">
        <v>6408</v>
      </c>
      <c r="O20" s="11">
        <v>6445</v>
      </c>
      <c r="P20" s="22" t="s">
        <v>85</v>
      </c>
    </row>
    <row r="21" spans="1:16" ht="27.75" x14ac:dyDescent="0.2">
      <c r="A21" t="s">
        <v>68</v>
      </c>
      <c r="B21" s="11">
        <v>4105</v>
      </c>
      <c r="C21" s="11">
        <v>6455</v>
      </c>
      <c r="D21" s="11">
        <v>6496</v>
      </c>
      <c r="E21" s="11">
        <v>6538</v>
      </c>
      <c r="F21" s="11">
        <v>6580</v>
      </c>
      <c r="G21" s="11">
        <v>6621</v>
      </c>
      <c r="H21" s="11">
        <v>6663</v>
      </c>
      <c r="I21" s="11">
        <v>6705</v>
      </c>
      <c r="J21" s="11">
        <v>6743</v>
      </c>
      <c r="K21" s="11">
        <v>6780</v>
      </c>
      <c r="L21" s="11">
        <v>6817</v>
      </c>
      <c r="M21" s="11">
        <v>6855</v>
      </c>
      <c r="N21" s="11">
        <v>6893</v>
      </c>
      <c r="O21" s="11">
        <v>6930</v>
      </c>
      <c r="P21" s="22" t="s">
        <v>85</v>
      </c>
    </row>
    <row r="22" spans="1:16" ht="27.75" x14ac:dyDescent="0.2">
      <c r="A22" t="s">
        <v>69</v>
      </c>
      <c r="B22" s="11">
        <v>5490</v>
      </c>
      <c r="C22" s="11">
        <v>5070</v>
      </c>
      <c r="D22" s="11">
        <v>5111</v>
      </c>
      <c r="E22" s="11">
        <v>5153</v>
      </c>
      <c r="F22" s="11">
        <v>5195</v>
      </c>
      <c r="G22" s="11">
        <v>5236</v>
      </c>
      <c r="H22" s="11">
        <v>5278</v>
      </c>
      <c r="I22" s="11">
        <v>5320</v>
      </c>
      <c r="J22" s="11">
        <v>5358</v>
      </c>
      <c r="K22" s="11">
        <v>5395</v>
      </c>
      <c r="L22" s="11">
        <v>5432</v>
      </c>
      <c r="M22" s="11">
        <v>5470</v>
      </c>
      <c r="N22" s="11">
        <v>5508</v>
      </c>
      <c r="O22" s="11">
        <v>5545</v>
      </c>
      <c r="P22" s="22" t="s">
        <v>85</v>
      </c>
    </row>
    <row r="23" spans="1:16" ht="27.75" x14ac:dyDescent="0.2">
      <c r="A23" t="s">
        <v>70</v>
      </c>
      <c r="B23" s="11">
        <v>6025</v>
      </c>
      <c r="C23" s="11">
        <v>4535</v>
      </c>
      <c r="D23" s="11">
        <v>4576</v>
      </c>
      <c r="E23" s="11">
        <v>4618</v>
      </c>
      <c r="F23" s="11">
        <v>4660</v>
      </c>
      <c r="G23" s="11">
        <v>4701</v>
      </c>
      <c r="H23" s="11">
        <v>4743</v>
      </c>
      <c r="I23" s="11">
        <v>4785</v>
      </c>
      <c r="J23" s="11">
        <v>4823</v>
      </c>
      <c r="K23" s="11">
        <v>4860</v>
      </c>
      <c r="L23" s="11">
        <v>4897</v>
      </c>
      <c r="M23" s="11">
        <v>4935</v>
      </c>
      <c r="N23" s="11">
        <v>4973</v>
      </c>
      <c r="O23" s="11">
        <v>5010</v>
      </c>
      <c r="P23" s="22" t="s">
        <v>85</v>
      </c>
    </row>
    <row r="24" spans="1:16" ht="27.75" x14ac:dyDescent="0.2">
      <c r="A24" t="s">
        <v>71</v>
      </c>
      <c r="B24" s="11">
        <v>3370</v>
      </c>
      <c r="C24" s="11">
        <v>7190</v>
      </c>
      <c r="D24" s="11">
        <v>7231</v>
      </c>
      <c r="E24" s="11">
        <v>7273</v>
      </c>
      <c r="F24" s="11">
        <v>7315</v>
      </c>
      <c r="G24" s="11">
        <v>7356</v>
      </c>
      <c r="H24" s="11">
        <v>7398</v>
      </c>
      <c r="I24" s="11">
        <v>7440</v>
      </c>
      <c r="J24" s="11">
        <v>7478</v>
      </c>
      <c r="K24" s="11">
        <v>7515</v>
      </c>
      <c r="L24" s="11">
        <v>7552</v>
      </c>
      <c r="M24" s="11">
        <v>7590</v>
      </c>
      <c r="N24" s="11">
        <v>7628</v>
      </c>
      <c r="O24" s="11">
        <v>7665</v>
      </c>
      <c r="P24" s="22" t="s">
        <v>85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Retirement + Benefits</vt:lpstr>
      <vt:lpstr>Cost of Living (Clean)</vt:lpstr>
      <vt:lpstr>COL Matrix VA100</vt:lpstr>
      <vt:lpstr>Remaining Cash Matrix (VA 100%)</vt:lpstr>
      <vt:lpstr>Pay &amp; Benefits (VA 60%)</vt:lpstr>
      <vt:lpstr>Cost of Living (VA 60%)</vt:lpstr>
      <vt:lpstr>Remaining Cash Matrix (VA 60%)</vt:lpstr>
      <vt:lpstr>COL Matrix VA60</vt:lpstr>
      <vt:lpstr>Pay &amp; Benefits (VA 30%)</vt:lpstr>
      <vt:lpstr>Pay &amp; Benefits (VA 30% Alt)</vt:lpstr>
      <vt:lpstr>COL Matrix VA30</vt:lpstr>
      <vt:lpstr>Remaining Cash Matrix (VA 30%)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2025-12-17T11:34:20Z</dcterms:created>
  <dcterms:modified xsi:type="dcterms:W3CDTF">2025-12-17T13:44:16Z</dcterms:modified>
</cp:coreProperties>
</file>